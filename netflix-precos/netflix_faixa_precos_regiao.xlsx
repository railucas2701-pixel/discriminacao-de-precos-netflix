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ixa de preço" sheetId="1" state="visible" r:id="rId3"/>
    <sheet name="Países" sheetId="2" state="visible" r:id="rId4"/>
    <sheet name="Como faz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<sst xmlns="http://schemas.openxmlformats.org/spreadsheetml/2006/main" count="834" uniqueCount="300">
  <si>
    <t xml:space="preserve">Netflix: faixa de preço do plano mais básico por região (US$/mês, outubro de 2026)</t>
  </si>
  <si>
    <t xml:space="preserve">Mínimo, mediana e máximo calculados por fórmula a partir da aba Países.</t>
  </si>
  <si>
    <t xml:space="preserve">Região</t>
  </si>
  <si>
    <t xml:space="preserve">Descrição</t>
  </si>
  <si>
    <t xml:space="preserve">Países</t>
  </si>
  <si>
    <t xml:space="preserve">Mínimo (US$)</t>
  </si>
  <si>
    <t xml:space="preserve">Mediana (US$)</t>
  </si>
  <si>
    <t xml:space="preserve">Máximo (US$)</t>
  </si>
  <si>
    <t xml:space="preserve">País(es) no mínimo</t>
  </si>
  <si>
    <t xml:space="preserve">País(es) no máximo</t>
  </si>
  <si>
    <t xml:space="preserve">Base do gráfico (invisível)</t>
  </si>
  <si>
    <t xml:space="preserve">Metade mais barata (mín. → mediana)</t>
  </si>
  <si>
    <t xml:space="preserve">Metade mais cara (mediana → máx.)</t>
  </si>
  <si>
    <t xml:space="preserve">UCAN</t>
  </si>
  <si>
    <t xml:space="preserve">EUA e Canadá</t>
  </si>
  <si>
    <t xml:space="preserve">Canadá · Standard c/ anúncios</t>
  </si>
  <si>
    <t xml:space="preserve">EUA · Standard c/ anúncios</t>
  </si>
  <si>
    <t xml:space="preserve">LATAM</t>
  </si>
  <si>
    <t xml:space="preserve">América Latina e Caribe</t>
  </si>
  <si>
    <t xml:space="preserve">Belize e mais 8 países · Básico</t>
  </si>
  <si>
    <t xml:space="preserve">Uruguai e Trinidad e Tobago · Básico</t>
  </si>
  <si>
    <t xml:space="preserve">Europa</t>
  </si>
  <si>
    <t xml:space="preserve">Inclui Turquia, Chipre e Cáucaso</t>
  </si>
  <si>
    <t xml:space="preserve">Turquia · Básico</t>
  </si>
  <si>
    <t xml:space="preserve">Suíça e Liechtenstein · Básico</t>
  </si>
  <si>
    <t xml:space="preserve">Oriente Médio</t>
  </si>
  <si>
    <t xml:space="preserve">Países árabes da Ásia, Israel e Irã</t>
  </si>
  <si>
    <t xml:space="preserve">Iraque, Irã e mais 4 países · Básico</t>
  </si>
  <si>
    <t xml:space="preserve">Israel · Básico</t>
  </si>
  <si>
    <t xml:space="preserve">África</t>
  </si>
  <si>
    <t xml:space="preserve">Continente inteiro</t>
  </si>
  <si>
    <t xml:space="preserve">Quênia · Mobile</t>
  </si>
  <si>
    <t xml:space="preserve">Marrocos · Básico</t>
  </si>
  <si>
    <t xml:space="preserve">APAC</t>
  </si>
  <si>
    <t xml:space="preserve">Ásia-Pacífico</t>
  </si>
  <si>
    <t xml:space="preserve">Paquistão · Mobile</t>
  </si>
  <si>
    <t xml:space="preserve">Singapura · Básico</t>
  </si>
  <si>
    <t xml:space="preserve">Colunas G e H (azul) são texto fixo: não mudam se os preços da aba Países mudarem.</t>
  </si>
  <si>
    <t xml:space="preserve">Colunas I a K alimentam o gráfico: a 1ª série (base) fica sem preenchimento, então cada barra começa no mínimo e termina no máximo; a troca de cor marca a mediana.</t>
  </si>
  <si>
    <t xml:space="preserve">País</t>
  </si>
  <si>
    <t xml:space="preserve">Plano mais básico</t>
  </si>
  <si>
    <t xml:space="preserve">Preço (US$/mês)</t>
  </si>
  <si>
    <t xml:space="preserve">Moeda de cobrança</t>
  </si>
  <si>
    <t xml:space="preserve">Preço local</t>
  </si>
  <si>
    <t xml:space="preserve">Canada</t>
  </si>
  <si>
    <t xml:space="preserve">Standard with ads</t>
  </si>
  <si>
    <t xml:space="preserve">CAD</t>
  </si>
  <si>
    <t xml:space="preserve">United States</t>
  </si>
  <si>
    <t xml:space="preserve">USD</t>
  </si>
  <si>
    <t xml:space="preserve">Antigua and Barbuda</t>
  </si>
  <si>
    <t xml:space="preserve">Basic</t>
  </si>
  <si>
    <t xml:space="preserve">Argentina</t>
  </si>
  <si>
    <t xml:space="preserve">ARS</t>
  </si>
  <si>
    <t xml:space="preserve">Bahamas</t>
  </si>
  <si>
    <t xml:space="preserve">Barbados</t>
  </si>
  <si>
    <t xml:space="preserve">Belize</t>
  </si>
  <si>
    <t xml:space="preserve">Bolivia</t>
  </si>
  <si>
    <t xml:space="preserve">Brazil</t>
  </si>
  <si>
    <t xml:space="preserve">BRL</t>
  </si>
  <si>
    <t xml:space="preserve">Chile</t>
  </si>
  <si>
    <t xml:space="preserve">CLP</t>
  </si>
  <si>
    <t xml:space="preserve">Colombia</t>
  </si>
  <si>
    <t xml:space="preserve">COP</t>
  </si>
  <si>
    <t xml:space="preserve">Costa Rica</t>
  </si>
  <si>
    <t xml:space="preserve">Cuba</t>
  </si>
  <si>
    <t xml:space="preserve">Dominica</t>
  </si>
  <si>
    <t xml:space="preserve">Dominican Republic</t>
  </si>
  <si>
    <t xml:space="preserve">Ecuador</t>
  </si>
  <si>
    <t xml:space="preserve">El Salvador</t>
  </si>
  <si>
    <t xml:space="preserve">Grenada</t>
  </si>
  <si>
    <t xml:space="preserve">Guatemala</t>
  </si>
  <si>
    <t xml:space="preserve">Guyana</t>
  </si>
  <si>
    <t xml:space="preserve">Haiti</t>
  </si>
  <si>
    <t xml:space="preserve">Honduras</t>
  </si>
  <si>
    <t xml:space="preserve">Jamaica</t>
  </si>
  <si>
    <t xml:space="preserve">Mexico</t>
  </si>
  <si>
    <t xml:space="preserve">MXN</t>
  </si>
  <si>
    <t xml:space="preserve">Nicaragua</t>
  </si>
  <si>
    <t xml:space="preserve">Panama</t>
  </si>
  <si>
    <t xml:space="preserve">Paraguay</t>
  </si>
  <si>
    <t xml:space="preserve">Peru</t>
  </si>
  <si>
    <t xml:space="preserve">PEN</t>
  </si>
  <si>
    <t xml:space="preserve">Saint Kitts and Nevis</t>
  </si>
  <si>
    <t xml:space="preserve">Saint Lucia</t>
  </si>
  <si>
    <t xml:space="preserve">Saint Vincent and the Grenadines</t>
  </si>
  <si>
    <t xml:space="preserve">Suriname</t>
  </si>
  <si>
    <t xml:space="preserve">Trinidad and Tobago</t>
  </si>
  <si>
    <t xml:space="preserve">Uruguay</t>
  </si>
  <si>
    <t xml:space="preserve">Venezuela</t>
  </si>
  <si>
    <t xml:space="preserve">Albania</t>
  </si>
  <si>
    <t xml:space="preserve">EUR</t>
  </si>
  <si>
    <t xml:space="preserve">Andorra</t>
  </si>
  <si>
    <t xml:space="preserve">Armenia</t>
  </si>
  <si>
    <t xml:space="preserve">Austria</t>
  </si>
  <si>
    <t xml:space="preserve">Azerbaijan</t>
  </si>
  <si>
    <t xml:space="preserve">Belarus</t>
  </si>
  <si>
    <t xml:space="preserve">Belgium</t>
  </si>
  <si>
    <t xml:space="preserve">Bosnia and Herzegovina</t>
  </si>
  <si>
    <t xml:space="preserve">Bulgaria</t>
  </si>
  <si>
    <t xml:space="preserve">Croatia</t>
  </si>
  <si>
    <t xml:space="preserve">Cyprus</t>
  </si>
  <si>
    <t xml:space="preserve">Czechia</t>
  </si>
  <si>
    <t xml:space="preserve">CZK</t>
  </si>
  <si>
    <t xml:space="preserve">Denmark</t>
  </si>
  <si>
    <t xml:space="preserve">DKK</t>
  </si>
  <si>
    <t xml:space="preserve">Estonia</t>
  </si>
  <si>
    <t xml:space="preserve">Finland</t>
  </si>
  <si>
    <t xml:space="preserve">France</t>
  </si>
  <si>
    <t xml:space="preserve">Georgia</t>
  </si>
  <si>
    <t xml:space="preserve">Germany</t>
  </si>
  <si>
    <t xml:space="preserve">Greece</t>
  </si>
  <si>
    <t xml:space="preserve">Holy See (Vatican City State)</t>
  </si>
  <si>
    <t xml:space="preserve">Hungary</t>
  </si>
  <si>
    <t xml:space="preserve">HUF</t>
  </si>
  <si>
    <t xml:space="preserve">Iceland</t>
  </si>
  <si>
    <t xml:space="preserve">Ireland</t>
  </si>
  <si>
    <t xml:space="preserve">Italy</t>
  </si>
  <si>
    <t xml:space="preserve">Latvia</t>
  </si>
  <si>
    <t xml:space="preserve">Liechtenstein</t>
  </si>
  <si>
    <t xml:space="preserve">CHF</t>
  </si>
  <si>
    <t xml:space="preserve">Lithuania</t>
  </si>
  <si>
    <t xml:space="preserve">Luxembourg</t>
  </si>
  <si>
    <t xml:space="preserve">Malta</t>
  </si>
  <si>
    <t xml:space="preserve">Moldova</t>
  </si>
  <si>
    <t xml:space="preserve">Monaco</t>
  </si>
  <si>
    <t xml:space="preserve">Montenegro</t>
  </si>
  <si>
    <t xml:space="preserve">Netherlands</t>
  </si>
  <si>
    <t xml:space="preserve">North Macedonia</t>
  </si>
  <si>
    <t xml:space="preserve">Norway</t>
  </si>
  <si>
    <t xml:space="preserve">NOK</t>
  </si>
  <si>
    <t xml:space="preserve">Poland</t>
  </si>
  <si>
    <t xml:space="preserve">PLN</t>
  </si>
  <si>
    <t xml:space="preserve">Portugal</t>
  </si>
  <si>
    <t xml:space="preserve">Romania</t>
  </si>
  <si>
    <t xml:space="preserve">San Marino</t>
  </si>
  <si>
    <t xml:space="preserve">Serbia</t>
  </si>
  <si>
    <t xml:space="preserve">Slovakia</t>
  </si>
  <si>
    <t xml:space="preserve">Slovenia</t>
  </si>
  <si>
    <t xml:space="preserve">Spain</t>
  </si>
  <si>
    <t xml:space="preserve">Sweden</t>
  </si>
  <si>
    <t xml:space="preserve">SEK</t>
  </si>
  <si>
    <t xml:space="preserve">Switzerland</t>
  </si>
  <si>
    <t xml:space="preserve">Türkiye</t>
  </si>
  <si>
    <t xml:space="preserve">TRY</t>
  </si>
  <si>
    <t xml:space="preserve">Ukraine</t>
  </si>
  <si>
    <t xml:space="preserve">United Kingdom</t>
  </si>
  <si>
    <t xml:space="preserve">Standard with adverts</t>
  </si>
  <si>
    <t xml:space="preserve">GBP</t>
  </si>
  <si>
    <t xml:space="preserve">Bahrain</t>
  </si>
  <si>
    <t xml:space="preserve">Iran</t>
  </si>
  <si>
    <t xml:space="preserve">Iraq</t>
  </si>
  <si>
    <t xml:space="preserve">Israel</t>
  </si>
  <si>
    <t xml:space="preserve">ILS</t>
  </si>
  <si>
    <t xml:space="preserve">Jordan</t>
  </si>
  <si>
    <t xml:space="preserve">Kuwait</t>
  </si>
  <si>
    <t xml:space="preserve">Lebanon</t>
  </si>
  <si>
    <t xml:space="preserve">Oman</t>
  </si>
  <si>
    <t xml:space="preserve">Palestine, State of</t>
  </si>
  <si>
    <t xml:space="preserve">Qatar</t>
  </si>
  <si>
    <t xml:space="preserve">Saudi Arabia</t>
  </si>
  <si>
    <t xml:space="preserve">SAR</t>
  </si>
  <si>
    <t xml:space="preserve">United Arab Emirates</t>
  </si>
  <si>
    <t xml:space="preserve">AED</t>
  </si>
  <si>
    <t xml:space="preserve">Yemen</t>
  </si>
  <si>
    <t xml:space="preserve">Algeria</t>
  </si>
  <si>
    <t xml:space="preserve">Angola</t>
  </si>
  <si>
    <t xml:space="preserve">Mobile</t>
  </si>
  <si>
    <t xml:space="preserve">Benin</t>
  </si>
  <si>
    <t xml:space="preserve">Botswana</t>
  </si>
  <si>
    <t xml:space="preserve">Burkina Faso</t>
  </si>
  <si>
    <t xml:space="preserve">Burundi</t>
  </si>
  <si>
    <t xml:space="preserve">Cabo Verde</t>
  </si>
  <si>
    <t xml:space="preserve">Cameroon</t>
  </si>
  <si>
    <t xml:space="preserve">Central African Republic</t>
  </si>
  <si>
    <t xml:space="preserve">Chad</t>
  </si>
  <si>
    <t xml:space="preserve">Comoros</t>
  </si>
  <si>
    <t xml:space="preserve">Congo</t>
  </si>
  <si>
    <t xml:space="preserve">Congo, The Democratic Republic of the</t>
  </si>
  <si>
    <t xml:space="preserve">Côte d'Ivoire</t>
  </si>
  <si>
    <t xml:space="preserve">Djibouti</t>
  </si>
  <si>
    <t xml:space="preserve">Egypt</t>
  </si>
  <si>
    <t xml:space="preserve">EGP</t>
  </si>
  <si>
    <t xml:space="preserve">Equatorial Guinea</t>
  </si>
  <si>
    <t xml:space="preserve">Eritrea</t>
  </si>
  <si>
    <t xml:space="preserve">Eswatini</t>
  </si>
  <si>
    <t xml:space="preserve">Ethiopia</t>
  </si>
  <si>
    <t xml:space="preserve">Gabon</t>
  </si>
  <si>
    <t xml:space="preserve">Gambia</t>
  </si>
  <si>
    <t xml:space="preserve">Ghana</t>
  </si>
  <si>
    <t xml:space="preserve">Guinea</t>
  </si>
  <si>
    <t xml:space="preserve">Guinea-Bissau</t>
  </si>
  <si>
    <t xml:space="preserve">Kenya</t>
  </si>
  <si>
    <t xml:space="preserve">KES</t>
  </si>
  <si>
    <t xml:space="preserve">Lesotho</t>
  </si>
  <si>
    <t xml:space="preserve">Liberia</t>
  </si>
  <si>
    <t xml:space="preserve">Libya</t>
  </si>
  <si>
    <t xml:space="preserve">Madagascar</t>
  </si>
  <si>
    <t xml:space="preserve">Malawi</t>
  </si>
  <si>
    <t xml:space="preserve">Mali</t>
  </si>
  <si>
    <t xml:space="preserve">Mauritania</t>
  </si>
  <si>
    <t xml:space="preserve">Mauritius</t>
  </si>
  <si>
    <t xml:space="preserve">Morocco</t>
  </si>
  <si>
    <t xml:space="preserve">MAD</t>
  </si>
  <si>
    <t xml:space="preserve">Mozambique</t>
  </si>
  <si>
    <t xml:space="preserve">Namibia</t>
  </si>
  <si>
    <t xml:space="preserve">Niger</t>
  </si>
  <si>
    <t xml:space="preserve">Nigeria</t>
  </si>
  <si>
    <t xml:space="preserve">NGN</t>
  </si>
  <si>
    <t xml:space="preserve">Rwanda</t>
  </si>
  <si>
    <t xml:space="preserve">Sao Tome and Principe</t>
  </si>
  <si>
    <t xml:space="preserve">Senegal</t>
  </si>
  <si>
    <t xml:space="preserve">Seychelles</t>
  </si>
  <si>
    <t xml:space="preserve">Sierra Leone</t>
  </si>
  <si>
    <t xml:space="preserve">Somalia</t>
  </si>
  <si>
    <t xml:space="preserve">South Africa</t>
  </si>
  <si>
    <t xml:space="preserve">ZAR</t>
  </si>
  <si>
    <t xml:space="preserve">South Sudan</t>
  </si>
  <si>
    <t xml:space="preserve">Sudan</t>
  </si>
  <si>
    <t xml:space="preserve">Tanzania</t>
  </si>
  <si>
    <t xml:space="preserve">Togo</t>
  </si>
  <si>
    <t xml:space="preserve">Tunisia</t>
  </si>
  <si>
    <t xml:space="preserve">Uganda</t>
  </si>
  <si>
    <t xml:space="preserve">Zambia</t>
  </si>
  <si>
    <t xml:space="preserve">Zimbabwe</t>
  </si>
  <si>
    <t xml:space="preserve">Afghanistan</t>
  </si>
  <si>
    <t xml:space="preserve">Australia</t>
  </si>
  <si>
    <t xml:space="preserve">AUD</t>
  </si>
  <si>
    <t xml:space="preserve">Bangladesh</t>
  </si>
  <si>
    <t xml:space="preserve">Bhutan</t>
  </si>
  <si>
    <t xml:space="preserve">Brunei Darussalam</t>
  </si>
  <si>
    <t xml:space="preserve">Cambodia</t>
  </si>
  <si>
    <t xml:space="preserve">Fiji</t>
  </si>
  <si>
    <t xml:space="preserve">India</t>
  </si>
  <si>
    <t xml:space="preserve">INR</t>
  </si>
  <si>
    <t xml:space="preserve">Indonesia</t>
  </si>
  <si>
    <t xml:space="preserve">IDR</t>
  </si>
  <si>
    <t xml:space="preserve">Japan</t>
  </si>
  <si>
    <t xml:space="preserve">JPY</t>
  </si>
  <si>
    <t xml:space="preserve">Kazakhstan</t>
  </si>
  <si>
    <t xml:space="preserve">Kiribati</t>
  </si>
  <si>
    <t xml:space="preserve">Kyrgyzstan</t>
  </si>
  <si>
    <t xml:space="preserve">Laos</t>
  </si>
  <si>
    <t xml:space="preserve">Malaysia</t>
  </si>
  <si>
    <t xml:space="preserve">MYR</t>
  </si>
  <si>
    <t xml:space="preserve">Maldives</t>
  </si>
  <si>
    <t xml:space="preserve">Marshall Islands</t>
  </si>
  <si>
    <t xml:space="preserve">Micronesia, Federated States of</t>
  </si>
  <si>
    <t xml:space="preserve">Mongolia</t>
  </si>
  <si>
    <t xml:space="preserve">Myanmar</t>
  </si>
  <si>
    <t xml:space="preserve">Nauru</t>
  </si>
  <si>
    <t xml:space="preserve">Nepal</t>
  </si>
  <si>
    <t xml:space="preserve">New Zealand</t>
  </si>
  <si>
    <t xml:space="preserve">NZD</t>
  </si>
  <si>
    <t xml:space="preserve">Pakistan</t>
  </si>
  <si>
    <t xml:space="preserve">PKR</t>
  </si>
  <si>
    <t xml:space="preserve">Palau</t>
  </si>
  <si>
    <t xml:space="preserve">Papua New Guinea</t>
  </si>
  <si>
    <t xml:space="preserve">Philippines</t>
  </si>
  <si>
    <t xml:space="preserve">PHP</t>
  </si>
  <si>
    <t xml:space="preserve">Samoa</t>
  </si>
  <si>
    <t xml:space="preserve">Singapore</t>
  </si>
  <si>
    <t xml:space="preserve">SGD</t>
  </si>
  <si>
    <t xml:space="preserve">Solomon Islands</t>
  </si>
  <si>
    <t xml:space="preserve">South Korea</t>
  </si>
  <si>
    <t xml:space="preserve">KRW</t>
  </si>
  <si>
    <t xml:space="preserve">Sri Lanka</t>
  </si>
  <si>
    <t xml:space="preserve">Taiwan</t>
  </si>
  <si>
    <t xml:space="preserve">TWD</t>
  </si>
  <si>
    <t xml:space="preserve">Tajikistan</t>
  </si>
  <si>
    <t xml:space="preserve">Thailand</t>
  </si>
  <si>
    <t xml:space="preserve">THB</t>
  </si>
  <si>
    <t xml:space="preserve">Timor-Leste</t>
  </si>
  <si>
    <t xml:space="preserve">Tonga</t>
  </si>
  <si>
    <t xml:space="preserve">Turkmenistan</t>
  </si>
  <si>
    <t xml:space="preserve">Tuvalu</t>
  </si>
  <si>
    <t xml:space="preserve">Uzbekistan</t>
  </si>
  <si>
    <t xml:space="preserve">Vanuatu</t>
  </si>
  <si>
    <t xml:space="preserve">Vietnam</t>
  </si>
  <si>
    <t xml:space="preserve">VND</t>
  </si>
  <si>
    <t xml:space="preserve">Fonte: Central de Ajuda da Netflix (help.netflix.com/en/node/24926/&lt;país&gt;), coletado em 10/10/2026; câmbio do mesmo dia (open.er-api.com). Só países (membros da ONU + Vaticano, Palestina e Taiwan); territórios excluídos. Valores em azul são dados coletados.</t>
  </si>
  <si>
    <t xml:space="preserve">Regiões: África = continente inteiro; Europa = continente europeu + Turquia, Chipre e Cáucaso (classificação do Banco Mundial); Oriente Médio = países árabes da Ásia, Israel e Irã; demais pela geografia da ONU. A Netflix não publica a lista de países de cada região.</t>
  </si>
  <si>
    <t xml:space="preserve">Como montar o gráfico de faixa (mínimo a máximo) no Excel</t>
  </si>
  <si>
    <t xml:space="preserve">Opção 1 - Barras flutuantes (a usada na aba 'Faixa de preço'):</t>
  </si>
  <si>
    <t xml:space="preserve">1. Monte 3 colunas: Base = mínimo; Parte 1 = mediana - mínimo; Parte 2 = máximo - mediana.</t>
  </si>
  <si>
    <t xml:space="preserve">   (sem mediana, use só 2 colunas: Base = mínimo e Faixa = máximo - mínimo)</t>
  </si>
  <si>
    <t xml:space="preserve">2. Selecione as regiões e as 3 colunas &gt; Inserir &gt; Gráfico de Barras &gt; Barras Empilhadas.</t>
  </si>
  <si>
    <t xml:space="preserve">3. Clique na série 'Base' &gt; Formatar Série de Dados &gt; Preenchimento: Sem preenchimento; Borda: Sem linha.</t>
  </si>
  <si>
    <t xml:space="preserve">4. Para a 1ª região ficar no topo: Formatar eixo das categorias &gt; 'Categorias em ordem inversa'</t>
  </si>
  <si>
    <t xml:space="preserve">   e 'Eixo horizontal cruza: na categoria máxima'.</t>
  </si>
  <si>
    <t xml:space="preserve">5. Fixe o eixo de valores (ex.: mínimo 0, máximo 20) e apague da legenda a entrada 'Base'.</t>
  </si>
  <si>
    <t xml:space="preserve">Opção 2 - Gráfico de Ações 'Máxima-Mínima-Fechamento' (nome pode variar na sua versão do Excel):</t>
  </si>
  <si>
    <t xml:space="preserve">- Precisa de 3 colunas nesta ordem: Máximo, Mínimo, Fechamento (use a mediana como 'fechamento').</t>
  </si>
  <si>
    <t xml:space="preserve">- Inserir &gt; Gráficos de Cascata, Funil, Ações... &gt; Ações &gt; Máxima-Mínima-Fechamento.</t>
  </si>
  <si>
    <t xml:space="preserve">- Desenha uma linha vertical do mínimo ao máximo por região, com um tique na mediana.</t>
  </si>
  <si>
    <t xml:space="preserve">- Fica vertical e é mais difícil de formatar; para slide, as barras flutuantes costumam ficar melhores.</t>
  </si>
  <si>
    <t xml:space="preserve">Opção 3 - Gráfico de linhas com 'Linhas de máximo/mínimo':</t>
  </si>
  <si>
    <t xml:space="preserve">- Faça um gráfico de linhas com as séries Mínimo e Máximo, depois Adicionar Elemento do Gráfico &gt;</t>
  </si>
  <si>
    <t xml:space="preserve">  Linhas &gt; Linhas de Máximo/Mínimo, e deixe as linhas das séries sem cor (fica só o traço vertical).</t>
  </si>
  <si>
    <t xml:space="preserve">Para levar ao PowerPoint: copie o gráfico e cole no slide (Colar &gt; Manter formatação de origem e</t>
  </si>
  <si>
    <t xml:space="preserve">inserir pasta de trabalho, para continuar editável).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</si>
</sst>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US$ &quot;#,##0.00"/>
    <numFmt numFmtId="166" formatCode="&quot;US$ &quot;0"/>
    <numFmt numFmtId="16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6B6E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Faixa de preço do plano mais básico (US$/mês)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'Faixa de preço'!I4</c:f>
              <c:strCache>
                <c:ptCount val="1"/>
                <c:pt idx="0">
                  <c:v>Base do gráfico (invisível)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'Faixa de preço'!$A$5:$A$10</c:f>
              <c:strCache>
                <c:ptCount val="6"/>
                <c:pt idx="0">
                  <c:v>UCAN</c:v>
                </c:pt>
                <c:pt idx="1">
                  <c:v>LATAM</c:v>
                </c:pt>
                <c:pt idx="2">
                  <c:v>Europa</c:v>
                </c:pt>
                <c:pt idx="3">
                  <c:v>Oriente Médio</c:v>
                </c:pt>
                <c:pt idx="4">
                  <c:v>África</c:v>
                </c:pt>
                <c:pt idx="5">
                  <c:v>APAC</c:v>
                </c:pt>
              </c:strCache>
            </c:strRef>
          </c:cat>
          <c:val>
            <c:numRef>
              <c:f>'Faixa de preço'!$I$5:$I$10</c:f>
              <c:numCache>
                <c:formatCode>"US$ "#,##0.00</c:formatCode>
                <c:ptCount val="6"/>
                <c:pt idx="0">
                  <c:v>5.61</c:v>
                </c:pt>
                <c:pt idx="1">
                  <c:v>3.99</c:v>
                </c:pt>
                <c:pt idx="2">
                  <c:v>5.27</c:v>
                </c:pt>
                <c:pt idx="3">
                  <c:v>3.99</c:v>
                </c:pt>
                <c:pt idx="4">
                  <c:v>1.54</c:v>
                </c:pt>
                <c:pt idx="5">
                  <c:v>0.9</c:v>
                </c:pt>
              </c:numCache>
            </c:numRef>
          </c:val>
        </c:ser>
        <c:ser>
          <c:idx val="1"/>
          <c:order val="1"/>
          <c:tx>
            <c:strRef>
              <c:f>'Faixa de preço'!J4</c:f>
              <c:strCache>
                <c:ptCount val="1"/>
                <c:pt idx="0">
                  <c:v>Metade mais barata (mín. → mediana)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'Faixa de preço'!$A$5:$A$10</c:f>
              <c:strCache>
                <c:ptCount val="6"/>
                <c:pt idx="0">
                  <c:v>UCAN</c:v>
                </c:pt>
                <c:pt idx="1">
                  <c:v>LATAM</c:v>
                </c:pt>
                <c:pt idx="2">
                  <c:v>Europa</c:v>
                </c:pt>
                <c:pt idx="3">
                  <c:v>Oriente Médio</c:v>
                </c:pt>
                <c:pt idx="4">
                  <c:v>África</c:v>
                </c:pt>
                <c:pt idx="5">
                  <c:v>APAC</c:v>
                </c:pt>
              </c:strCache>
            </c:strRef>
          </c:cat>
          <c:val>
            <c:numRef>
              <c:f>'Faixa de preço'!$J$5:$J$10</c:f>
              <c:numCache>
                <c:formatCode>"US$ "#,##0.00</c:formatCode>
                <c:ptCount val="6"/>
                <c:pt idx="0">
                  <c:v>1.69</c:v>
                </c:pt>
                <c:pt idx="1">
                  <c:v>2</c:v>
                </c:pt>
                <c:pt idx="2">
                  <c:v>4.655</c:v>
                </c:pt>
                <c:pt idx="3">
                  <c:v>4</c:v>
                </c:pt>
                <c:pt idx="4">
                  <c:v>1.45</c:v>
                </c:pt>
                <c:pt idx="5">
                  <c:v>2.09</c:v>
                </c:pt>
              </c:numCache>
            </c:numRef>
          </c:val>
        </c:ser>
        <c:ser>
          <c:idx val="2"/>
          <c:order val="2"/>
          <c:tx>
            <c:strRef>
              <c:f>'Faixa de preço'!K4</c:f>
              <c:strCache>
                <c:ptCount val="1"/>
                <c:pt idx="0">
                  <c:v>Metade mais cara (mediana → máx.)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'Faixa de preço'!$A$5:$A$10</c:f>
              <c:strCache>
                <c:ptCount val="6"/>
                <c:pt idx="0">
                  <c:v>UCAN</c:v>
                </c:pt>
                <c:pt idx="1">
                  <c:v>LATAM</c:v>
                </c:pt>
                <c:pt idx="2">
                  <c:v>Europa</c:v>
                </c:pt>
                <c:pt idx="3">
                  <c:v>Oriente Médio</c:v>
                </c:pt>
                <c:pt idx="4">
                  <c:v>África</c:v>
                </c:pt>
                <c:pt idx="5">
                  <c:v>APAC</c:v>
                </c:pt>
              </c:strCache>
            </c:strRef>
          </c:cat>
          <c:val>
            <c:numRef>
              <c:f>'Faixa de preço'!$K$5:$K$10</c:f>
              <c:numCache>
                <c:formatCode>"US$ "#,##0.00</c:formatCode>
                <c:ptCount val="6"/>
                <c:pt idx="0">
                  <c:v>1.69</c:v>
                </c:pt>
                <c:pt idx="1">
                  <c:v>6</c:v>
                </c:pt>
                <c:pt idx="2">
                  <c:v>8.015</c:v>
                </c:pt>
                <c:pt idx="3">
                  <c:v>2.75</c:v>
                </c:pt>
                <c:pt idx="4">
                  <c:v>1.53</c:v>
                </c:pt>
                <c:pt idx="5">
                  <c:v>9.49</c:v>
                </c:pt>
              </c:numCache>
            </c:numRef>
          </c:val>
        </c:ser>
        <c:gapWidth val="80"/>
        <c:overlap val="100"/>
        <c:axId val="27795737"/>
        <c:axId val="87623973"/>
      </c:barChart>
      <c:catAx>
        <c:axId val="2779573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23973"/>
        <c:crosses val="autoZero"/>
        <c:auto val="1"/>
        <c:lblAlgn val="ctr"/>
        <c:lblOffset val="100"/>
        <c:noMultiLvlLbl val="0"/>
      </c:catAx>
      <c:valAx>
        <c:axId val="87623973"/>
        <c:scaling>
          <c:orientation val="minMax"/>
          <c:max val="2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&quot;US$ &quot;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95737"/>
        <c:crosses val="max"/>
        <c:crossBetween val="between"/>
        <c:majorUnit val="5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160560</xdr:rowOff>
    </xdr:from>
    <xdr:to>
      <xdr:col>5</xdr:col>
      <xdr:colOff>699840</xdr:colOff>
      <xdr:row>30</xdr:row>
      <xdr:rowOff>151200</xdr:rowOff>
    </xdr:to>
    <xdr:graphicFrame>
      <xdr:nvGraphicFramePr>
        <xdr:cNvPr id="0" name="Chart 1"/>
        <xdr:cNvGraphicFramePr/>
      </xdr:nvGraphicFramePr>
      <xdr:xfrm>
        <a:off x="0" y="2685960"/>
        <a:ext cx="64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13"/>
    <col collapsed="false" customWidth="true" hidden="false" outlineLevel="0" max="11" min="10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5" t="n">
        <f aca="false">COUNTIF(Países!$B$2:$B$193,A5)</f>
        <v>2</v>
      </c>
      <c r="D5" s="6" t="n">
        <f aca="false">_xlfn.MINIFS(Países!$D$2:$D$193,Países!$B$2:$B$193,A5)</f>
        <v>5.61</v>
      </c>
      <c r="E5" s="6" t="n">
        <f aca="false" t="array" ref="E5:E5">MEDIAN(IF(Países!$B$2:$B$193=A5,Países!$D$2:$D$193))</f>
        <v>7.3</v>
      </c>
      <c r="F5" s="6" t="n">
        <f aca="false">_xlfn.MAXIFS(Países!$D$2:$D$193,Países!$B$2:$B$193,A5)</f>
        <v>8.99</v>
      </c>
      <c r="G5" s="7" t="s">
        <v>15</v>
      </c>
      <c r="H5" s="7" t="s">
        <v>16</v>
      </c>
      <c r="I5" s="6" t="n">
        <f aca="false">D5</f>
        <v>5.61</v>
      </c>
      <c r="J5" s="6" t="n">
        <f aca="false">E5-D5</f>
        <v>1.69</v>
      </c>
      <c r="K5" s="6" t="n">
        <f aca="false">F5-E5</f>
        <v>1.69</v>
      </c>
    </row>
    <row r="6" customFormat="false" ht="15" hidden="false" customHeight="false" outlineLevel="0" collapsed="false">
      <c r="A6" s="4" t="s">
        <v>17</v>
      </c>
      <c r="B6" s="5" t="s">
        <v>18</v>
      </c>
      <c r="C6" s="5" t="n">
        <f aca="false">COUNTIF(Países!$B$2:$B$193,A6)</f>
        <v>33</v>
      </c>
      <c r="D6" s="6" t="n">
        <f aca="false">_xlfn.MINIFS(Países!$D$2:$D$193,Países!$B$2:$B$193,A6)</f>
        <v>3.99</v>
      </c>
      <c r="E6" s="6" t="n">
        <f aca="false" t="array" ref="E6:E6">MEDIAN(IF(Países!$B$2:$B$193=A6,Países!$D$2:$D$193))</f>
        <v>5.99</v>
      </c>
      <c r="F6" s="6" t="n">
        <f aca="false">_xlfn.MAXIFS(Países!$D$2:$D$193,Países!$B$2:$B$193,A6)</f>
        <v>11.99</v>
      </c>
      <c r="G6" s="7" t="s">
        <v>19</v>
      </c>
      <c r="H6" s="7" t="s">
        <v>20</v>
      </c>
      <c r="I6" s="6" t="n">
        <f aca="false">D6</f>
        <v>3.99</v>
      </c>
      <c r="J6" s="6" t="n">
        <f aca="false">E6-D6</f>
        <v>2</v>
      </c>
      <c r="K6" s="6" t="n">
        <f aca="false">F6-E6</f>
        <v>6</v>
      </c>
    </row>
    <row r="7" customFormat="false" ht="15" hidden="false" customHeight="false" outlineLevel="0" collapsed="false">
      <c r="A7" s="4" t="s">
        <v>21</v>
      </c>
      <c r="B7" s="5" t="s">
        <v>22</v>
      </c>
      <c r="C7" s="5" t="n">
        <f aca="false">COUNTIF(Países!$B$2:$B$193,A7)</f>
        <v>48</v>
      </c>
      <c r="D7" s="6" t="n">
        <f aca="false">_xlfn.MINIFS(Países!$D$2:$D$193,Países!$B$2:$B$193,A7)</f>
        <v>5.27</v>
      </c>
      <c r="E7" s="6" t="n">
        <f aca="false" t="array" ref="E7:E7">MEDIAN(IF(Países!$B$2:$B$193=A7,Países!$D$2:$D$193))</f>
        <v>9.925</v>
      </c>
      <c r="F7" s="6" t="n">
        <f aca="false">_xlfn.MAXIFS(Países!$D$2:$D$193,Países!$B$2:$B$193,A7)</f>
        <v>17.94</v>
      </c>
      <c r="G7" s="7" t="s">
        <v>23</v>
      </c>
      <c r="H7" s="7" t="s">
        <v>24</v>
      </c>
      <c r="I7" s="6" t="n">
        <f aca="false">D7</f>
        <v>5.27</v>
      </c>
      <c r="J7" s="6" t="n">
        <f aca="false">E7-D7</f>
        <v>4.655</v>
      </c>
      <c r="K7" s="6" t="n">
        <f aca="false">F7-E7</f>
        <v>8.015</v>
      </c>
    </row>
    <row r="8" customFormat="false" ht="15" hidden="false" customHeight="false" outlineLevel="0" collapsed="false">
      <c r="A8" s="4" t="s">
        <v>25</v>
      </c>
      <c r="B8" s="5" t="s">
        <v>26</v>
      </c>
      <c r="C8" s="5" t="n">
        <f aca="false">COUNTIF(Países!$B$2:$B$193,A8)</f>
        <v>13</v>
      </c>
      <c r="D8" s="6" t="n">
        <f aca="false">_xlfn.MINIFS(Países!$D$2:$D$193,Países!$B$2:$B$193,A8)</f>
        <v>3.99</v>
      </c>
      <c r="E8" s="6" t="n">
        <f aca="false" t="array" ref="E8:E8">MEDIAN(IF(Países!$B$2:$B$193=A8,Países!$D$2:$D$193))</f>
        <v>7.99</v>
      </c>
      <c r="F8" s="6" t="n">
        <f aca="false">_xlfn.MAXIFS(Países!$D$2:$D$193,Países!$B$2:$B$193,A8)</f>
        <v>10.74</v>
      </c>
      <c r="G8" s="7" t="s">
        <v>27</v>
      </c>
      <c r="H8" s="7" t="s">
        <v>28</v>
      </c>
      <c r="I8" s="6" t="n">
        <f aca="false">D8</f>
        <v>3.99</v>
      </c>
      <c r="J8" s="6" t="n">
        <f aca="false">E8-D8</f>
        <v>4</v>
      </c>
      <c r="K8" s="6" t="n">
        <f aca="false">F8-E8</f>
        <v>2.75</v>
      </c>
    </row>
    <row r="9" customFormat="false" ht="15" hidden="false" customHeight="false" outlineLevel="0" collapsed="false">
      <c r="A9" s="4" t="s">
        <v>29</v>
      </c>
      <c r="B9" s="5" t="s">
        <v>30</v>
      </c>
      <c r="C9" s="5" t="n">
        <f aca="false">COUNTIF(Países!$B$2:$B$193,A9)</f>
        <v>54</v>
      </c>
      <c r="D9" s="6" t="n">
        <f aca="false">_xlfn.MINIFS(Países!$D$2:$D$193,Países!$B$2:$B$193,A9)</f>
        <v>1.54</v>
      </c>
      <c r="E9" s="6" t="n">
        <f aca="false" t="array" ref="E9:E9">MEDIAN(IF(Países!$B$2:$B$193=A9,Países!$D$2:$D$193))</f>
        <v>2.99</v>
      </c>
      <c r="F9" s="6" t="n">
        <f aca="false">_xlfn.MAXIFS(Países!$D$2:$D$193,Países!$B$2:$B$193,A9)</f>
        <v>4.52</v>
      </c>
      <c r="G9" s="7" t="s">
        <v>31</v>
      </c>
      <c r="H9" s="7" t="s">
        <v>32</v>
      </c>
      <c r="I9" s="6" t="n">
        <f aca="false">D9</f>
        <v>1.54</v>
      </c>
      <c r="J9" s="6" t="n">
        <f aca="false">E9-D9</f>
        <v>1.45</v>
      </c>
      <c r="K9" s="6" t="n">
        <f aca="false">F9-E9</f>
        <v>1.53</v>
      </c>
    </row>
    <row r="10" customFormat="false" ht="15" hidden="false" customHeight="false" outlineLevel="0" collapsed="false">
      <c r="A10" s="4" t="s">
        <v>33</v>
      </c>
      <c r="B10" s="5" t="s">
        <v>34</v>
      </c>
      <c r="C10" s="5" t="n">
        <f aca="false">COUNTIF(Países!$B$2:$B$193,A10)</f>
        <v>42</v>
      </c>
      <c r="D10" s="6" t="n">
        <f aca="false">_xlfn.MINIFS(Países!$D$2:$D$193,Países!$B$2:$B$193,A10)</f>
        <v>0.9</v>
      </c>
      <c r="E10" s="6" t="n">
        <f aca="false" t="array" ref="E10:E10">MEDIAN(IF(Países!$B$2:$B$193=A10,Países!$D$2:$D$193))</f>
        <v>2.99</v>
      </c>
      <c r="F10" s="6" t="n">
        <f aca="false">_xlfn.MAXIFS(Países!$D$2:$D$193,Países!$B$2:$B$193,A10)</f>
        <v>12.48</v>
      </c>
      <c r="G10" s="7" t="s">
        <v>35</v>
      </c>
      <c r="H10" s="7" t="s">
        <v>36</v>
      </c>
      <c r="I10" s="6" t="n">
        <f aca="false">D10</f>
        <v>0.9</v>
      </c>
      <c r="J10" s="6" t="n">
        <f aca="false">E10-D10</f>
        <v>2.09</v>
      </c>
      <c r="K10" s="6" t="n">
        <f aca="false">F10-E10</f>
        <v>9.49</v>
      </c>
    </row>
    <row r="11" customFormat="false" ht="15" hidden="false" customHeight="false" outlineLevel="0" collapsed="false">
      <c r="G11" s="2" t="s">
        <v>37</v>
      </c>
    </row>
    <row r="12" customFormat="false" ht="15" hidden="false" customHeight="false" outlineLevel="0" collapsed="false">
      <c r="A12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8" t="s">
        <v>39</v>
      </c>
      <c r="B1" s="8" t="s">
        <v>2</v>
      </c>
      <c r="C1" s="8" t="s">
        <v>40</v>
      </c>
      <c r="D1" s="8" t="s">
        <v>41</v>
      </c>
      <c r="E1" s="8" t="s">
        <v>42</v>
      </c>
      <c r="F1" s="8" t="s">
        <v>43</v>
      </c>
    </row>
    <row r="2" customFormat="false" ht="15" hidden="false" customHeight="false" outlineLevel="0" collapsed="false">
      <c r="A2" s="9" t="s">
        <v>44</v>
      </c>
      <c r="B2" s="9" t="s">
        <v>13</v>
      </c>
      <c r="C2" s="9" t="s">
        <v>45</v>
      </c>
      <c r="D2" s="10" t="n">
        <v>5.61</v>
      </c>
      <c r="E2" s="9" t="s">
        <v>46</v>
      </c>
      <c r="F2" s="11" t="n">
        <v>7.99</v>
      </c>
    </row>
    <row r="3" customFormat="false" ht="15" hidden="false" customHeight="false" outlineLevel="0" collapsed="false">
      <c r="A3" s="9" t="s">
        <v>47</v>
      </c>
      <c r="B3" s="9" t="s">
        <v>13</v>
      </c>
      <c r="C3" s="9" t="s">
        <v>45</v>
      </c>
      <c r="D3" s="10" t="n">
        <v>8.99</v>
      </c>
      <c r="E3" s="9" t="s">
        <v>48</v>
      </c>
      <c r="F3" s="11" t="n">
        <v>8.99</v>
      </c>
    </row>
    <row r="4" customFormat="false" ht="15" hidden="false" customHeight="false" outlineLevel="0" collapsed="false">
      <c r="A4" s="9" t="s">
        <v>49</v>
      </c>
      <c r="B4" s="9" t="s">
        <v>17</v>
      </c>
      <c r="C4" s="9" t="s">
        <v>50</v>
      </c>
      <c r="D4" s="10" t="n">
        <v>10.99</v>
      </c>
      <c r="E4" s="9" t="s">
        <v>48</v>
      </c>
      <c r="F4" s="11" t="n">
        <v>10.99</v>
      </c>
    </row>
    <row r="5" customFormat="false" ht="15" hidden="false" customHeight="false" outlineLevel="0" collapsed="false">
      <c r="A5" s="9" t="s">
        <v>51</v>
      </c>
      <c r="B5" s="9" t="s">
        <v>17</v>
      </c>
      <c r="C5" s="9" t="s">
        <v>50</v>
      </c>
      <c r="D5" s="10" t="n">
        <v>5.94</v>
      </c>
      <c r="E5" s="9" t="s">
        <v>52</v>
      </c>
      <c r="F5" s="11" t="n">
        <v>8999</v>
      </c>
    </row>
    <row r="6" customFormat="false" ht="15" hidden="false" customHeight="false" outlineLevel="0" collapsed="false">
      <c r="A6" s="9" t="s">
        <v>53</v>
      </c>
      <c r="B6" s="9" t="s">
        <v>17</v>
      </c>
      <c r="C6" s="9" t="s">
        <v>50</v>
      </c>
      <c r="D6" s="10" t="n">
        <v>10.99</v>
      </c>
      <c r="E6" s="9" t="s">
        <v>48</v>
      </c>
      <c r="F6" s="11" t="n">
        <v>10.99</v>
      </c>
    </row>
    <row r="7" customFormat="false" ht="15" hidden="false" customHeight="false" outlineLevel="0" collapsed="false">
      <c r="A7" s="9" t="s">
        <v>54</v>
      </c>
      <c r="B7" s="9" t="s">
        <v>17</v>
      </c>
      <c r="C7" s="9" t="s">
        <v>50</v>
      </c>
      <c r="D7" s="10" t="n">
        <v>10.59</v>
      </c>
      <c r="E7" s="9" t="s">
        <v>48</v>
      </c>
      <c r="F7" s="11" t="n">
        <v>10.59</v>
      </c>
    </row>
    <row r="8" customFormat="false" ht="15" hidden="false" customHeight="false" outlineLevel="0" collapsed="false">
      <c r="A8" s="9" t="s">
        <v>55</v>
      </c>
      <c r="B8" s="9" t="s">
        <v>17</v>
      </c>
      <c r="C8" s="9" t="s">
        <v>50</v>
      </c>
      <c r="D8" s="10" t="n">
        <v>3.99</v>
      </c>
      <c r="E8" s="9" t="s">
        <v>48</v>
      </c>
      <c r="F8" s="11" t="n">
        <v>3.99</v>
      </c>
    </row>
    <row r="9" customFormat="false" ht="15" hidden="false" customHeight="false" outlineLevel="0" collapsed="false">
      <c r="A9" s="9" t="s">
        <v>56</v>
      </c>
      <c r="B9" s="9" t="s">
        <v>17</v>
      </c>
      <c r="C9" s="9" t="s">
        <v>50</v>
      </c>
      <c r="D9" s="10" t="n">
        <v>4.99</v>
      </c>
      <c r="E9" s="9" t="s">
        <v>48</v>
      </c>
      <c r="F9" s="11" t="n">
        <v>4.99</v>
      </c>
    </row>
    <row r="10" customFormat="false" ht="15" hidden="false" customHeight="false" outlineLevel="0" collapsed="false">
      <c r="A10" s="9" t="s">
        <v>57</v>
      </c>
      <c r="B10" s="9" t="s">
        <v>17</v>
      </c>
      <c r="C10" s="9" t="s">
        <v>45</v>
      </c>
      <c r="D10" s="10" t="n">
        <v>4.17</v>
      </c>
      <c r="E10" s="9" t="s">
        <v>58</v>
      </c>
      <c r="F10" s="11" t="n">
        <v>20.9</v>
      </c>
    </row>
    <row r="11" customFormat="false" ht="15" hidden="false" customHeight="false" outlineLevel="0" collapsed="false">
      <c r="A11" s="9" t="s">
        <v>59</v>
      </c>
      <c r="B11" s="9" t="s">
        <v>17</v>
      </c>
      <c r="C11" s="9" t="s">
        <v>50</v>
      </c>
      <c r="D11" s="10" t="n">
        <v>7.35</v>
      </c>
      <c r="E11" s="9" t="s">
        <v>60</v>
      </c>
      <c r="F11" s="11" t="n">
        <v>7190</v>
      </c>
    </row>
    <row r="12" customFormat="false" ht="15" hidden="false" customHeight="false" outlineLevel="0" collapsed="false">
      <c r="A12" s="9" t="s">
        <v>61</v>
      </c>
      <c r="B12" s="9" t="s">
        <v>17</v>
      </c>
      <c r="C12" s="9" t="s">
        <v>50</v>
      </c>
      <c r="D12" s="10" t="n">
        <v>5.84</v>
      </c>
      <c r="E12" s="9" t="s">
        <v>62</v>
      </c>
      <c r="F12" s="11" t="n">
        <v>18900</v>
      </c>
    </row>
    <row r="13" customFormat="false" ht="15" hidden="false" customHeight="false" outlineLevel="0" collapsed="false">
      <c r="A13" s="9" t="s">
        <v>63</v>
      </c>
      <c r="B13" s="9" t="s">
        <v>17</v>
      </c>
      <c r="C13" s="9" t="s">
        <v>50</v>
      </c>
      <c r="D13" s="10" t="n">
        <v>9.99</v>
      </c>
      <c r="E13" s="9" t="s">
        <v>48</v>
      </c>
      <c r="F13" s="11" t="n">
        <v>9.99</v>
      </c>
    </row>
    <row r="14" customFormat="false" ht="15" hidden="false" customHeight="false" outlineLevel="0" collapsed="false">
      <c r="A14" s="9" t="s">
        <v>64</v>
      </c>
      <c r="B14" s="9" t="s">
        <v>17</v>
      </c>
      <c r="C14" s="9" t="s">
        <v>50</v>
      </c>
      <c r="D14" s="10" t="n">
        <v>3.99</v>
      </c>
      <c r="E14" s="9" t="s">
        <v>48</v>
      </c>
      <c r="F14" s="11" t="n">
        <v>3.99</v>
      </c>
    </row>
    <row r="15" customFormat="false" ht="15" hidden="false" customHeight="false" outlineLevel="0" collapsed="false">
      <c r="A15" s="9" t="s">
        <v>65</v>
      </c>
      <c r="B15" s="9" t="s">
        <v>17</v>
      </c>
      <c r="C15" s="9" t="s">
        <v>50</v>
      </c>
      <c r="D15" s="10" t="n">
        <v>3.99</v>
      </c>
      <c r="E15" s="9" t="s">
        <v>48</v>
      </c>
      <c r="F15" s="11" t="n">
        <v>3.99</v>
      </c>
    </row>
    <row r="16" customFormat="false" ht="15" hidden="false" customHeight="false" outlineLevel="0" collapsed="false">
      <c r="A16" s="9" t="s">
        <v>66</v>
      </c>
      <c r="B16" s="9" t="s">
        <v>17</v>
      </c>
      <c r="C16" s="9" t="s">
        <v>50</v>
      </c>
      <c r="D16" s="10" t="n">
        <v>6.99</v>
      </c>
      <c r="E16" s="9" t="s">
        <v>48</v>
      </c>
      <c r="F16" s="11" t="n">
        <v>6.99</v>
      </c>
    </row>
    <row r="17" customFormat="false" ht="15" hidden="false" customHeight="false" outlineLevel="0" collapsed="false">
      <c r="A17" s="9" t="s">
        <v>67</v>
      </c>
      <c r="B17" s="9" t="s">
        <v>17</v>
      </c>
      <c r="C17" s="9" t="s">
        <v>50</v>
      </c>
      <c r="D17" s="10" t="n">
        <v>5.99</v>
      </c>
      <c r="E17" s="9" t="s">
        <v>48</v>
      </c>
      <c r="F17" s="11" t="n">
        <v>5.99</v>
      </c>
    </row>
    <row r="18" customFormat="false" ht="15" hidden="false" customHeight="false" outlineLevel="0" collapsed="false">
      <c r="A18" s="9" t="s">
        <v>68</v>
      </c>
      <c r="B18" s="9" t="s">
        <v>17</v>
      </c>
      <c r="C18" s="9" t="s">
        <v>50</v>
      </c>
      <c r="D18" s="10" t="n">
        <v>6.99</v>
      </c>
      <c r="E18" s="9" t="s">
        <v>48</v>
      </c>
      <c r="F18" s="11" t="n">
        <v>6.99</v>
      </c>
    </row>
    <row r="19" customFormat="false" ht="15" hidden="false" customHeight="false" outlineLevel="0" collapsed="false">
      <c r="A19" s="9" t="s">
        <v>69</v>
      </c>
      <c r="B19" s="9" t="s">
        <v>17</v>
      </c>
      <c r="C19" s="9" t="s">
        <v>50</v>
      </c>
      <c r="D19" s="10" t="n">
        <v>3.99</v>
      </c>
      <c r="E19" s="9" t="s">
        <v>48</v>
      </c>
      <c r="F19" s="11" t="n">
        <v>3.99</v>
      </c>
    </row>
    <row r="20" customFormat="false" ht="15" hidden="false" customHeight="false" outlineLevel="0" collapsed="false">
      <c r="A20" s="9" t="s">
        <v>70</v>
      </c>
      <c r="B20" s="9" t="s">
        <v>17</v>
      </c>
      <c r="C20" s="9" t="s">
        <v>50</v>
      </c>
      <c r="D20" s="10" t="n">
        <v>6.99</v>
      </c>
      <c r="E20" s="9" t="s">
        <v>48</v>
      </c>
      <c r="F20" s="11" t="n">
        <v>6.99</v>
      </c>
    </row>
    <row r="21" customFormat="false" ht="15" hidden="false" customHeight="false" outlineLevel="0" collapsed="false">
      <c r="A21" s="9" t="s">
        <v>71</v>
      </c>
      <c r="B21" s="9" t="s">
        <v>17</v>
      </c>
      <c r="C21" s="9" t="s">
        <v>50</v>
      </c>
      <c r="D21" s="10" t="n">
        <v>3.99</v>
      </c>
      <c r="E21" s="9" t="s">
        <v>48</v>
      </c>
      <c r="F21" s="11" t="n">
        <v>3.99</v>
      </c>
    </row>
    <row r="22" customFormat="false" ht="15" hidden="false" customHeight="false" outlineLevel="0" collapsed="false">
      <c r="A22" s="9" t="s">
        <v>72</v>
      </c>
      <c r="B22" s="9" t="s">
        <v>17</v>
      </c>
      <c r="C22" s="9" t="s">
        <v>50</v>
      </c>
      <c r="D22" s="10" t="n">
        <v>3.99</v>
      </c>
      <c r="E22" s="9" t="s">
        <v>48</v>
      </c>
      <c r="F22" s="11" t="n">
        <v>3.99</v>
      </c>
    </row>
    <row r="23" customFormat="false" ht="15" hidden="false" customHeight="false" outlineLevel="0" collapsed="false">
      <c r="A23" s="9" t="s">
        <v>73</v>
      </c>
      <c r="B23" s="9" t="s">
        <v>17</v>
      </c>
      <c r="C23" s="9" t="s">
        <v>50</v>
      </c>
      <c r="D23" s="10" t="n">
        <v>6.99</v>
      </c>
      <c r="E23" s="9" t="s">
        <v>48</v>
      </c>
      <c r="F23" s="11" t="n">
        <v>6.99</v>
      </c>
    </row>
    <row r="24" customFormat="false" ht="15" hidden="false" customHeight="false" outlineLevel="0" collapsed="false">
      <c r="A24" s="9" t="s">
        <v>74</v>
      </c>
      <c r="B24" s="9" t="s">
        <v>17</v>
      </c>
      <c r="C24" s="9" t="s">
        <v>50</v>
      </c>
      <c r="D24" s="10" t="n">
        <v>5.99</v>
      </c>
      <c r="E24" s="9" t="s">
        <v>48</v>
      </c>
      <c r="F24" s="11" t="n">
        <v>5.99</v>
      </c>
    </row>
    <row r="25" customFormat="false" ht="15" hidden="false" customHeight="false" outlineLevel="0" collapsed="false">
      <c r="A25" s="9" t="s">
        <v>75</v>
      </c>
      <c r="B25" s="9" t="s">
        <v>17</v>
      </c>
      <c r="C25" s="9" t="s">
        <v>45</v>
      </c>
      <c r="D25" s="10" t="n">
        <v>7.58</v>
      </c>
      <c r="E25" s="9" t="s">
        <v>76</v>
      </c>
      <c r="F25" s="11" t="n">
        <v>139</v>
      </c>
    </row>
    <row r="26" customFormat="false" ht="15" hidden="false" customHeight="false" outlineLevel="0" collapsed="false">
      <c r="A26" s="9" t="s">
        <v>77</v>
      </c>
      <c r="B26" s="9" t="s">
        <v>17</v>
      </c>
      <c r="C26" s="9" t="s">
        <v>50</v>
      </c>
      <c r="D26" s="10" t="n">
        <v>5.99</v>
      </c>
      <c r="E26" s="9" t="s">
        <v>48</v>
      </c>
      <c r="F26" s="11" t="n">
        <v>5.99</v>
      </c>
    </row>
    <row r="27" customFormat="false" ht="15" hidden="false" customHeight="false" outlineLevel="0" collapsed="false">
      <c r="A27" s="9" t="s">
        <v>78</v>
      </c>
      <c r="B27" s="9" t="s">
        <v>17</v>
      </c>
      <c r="C27" s="9" t="s">
        <v>50</v>
      </c>
      <c r="D27" s="10" t="n">
        <v>5.99</v>
      </c>
      <c r="E27" s="9" t="s">
        <v>48</v>
      </c>
      <c r="F27" s="11" t="n">
        <v>5.99</v>
      </c>
    </row>
    <row r="28" customFormat="false" ht="15" hidden="false" customHeight="false" outlineLevel="0" collapsed="false">
      <c r="A28" s="9" t="s">
        <v>79</v>
      </c>
      <c r="B28" s="9" t="s">
        <v>17</v>
      </c>
      <c r="C28" s="9" t="s">
        <v>50</v>
      </c>
      <c r="D28" s="10" t="n">
        <v>4.99</v>
      </c>
      <c r="E28" s="9" t="s">
        <v>48</v>
      </c>
      <c r="F28" s="11" t="n">
        <v>4.99</v>
      </c>
    </row>
    <row r="29" customFormat="false" ht="15" hidden="false" customHeight="false" outlineLevel="0" collapsed="false">
      <c r="A29" s="9" t="s">
        <v>80</v>
      </c>
      <c r="B29" s="9" t="s">
        <v>17</v>
      </c>
      <c r="C29" s="9" t="s">
        <v>50</v>
      </c>
      <c r="D29" s="10" t="n">
        <v>8.39</v>
      </c>
      <c r="E29" s="9" t="s">
        <v>81</v>
      </c>
      <c r="F29" s="11" t="n">
        <v>28.9</v>
      </c>
    </row>
    <row r="30" customFormat="false" ht="15" hidden="false" customHeight="false" outlineLevel="0" collapsed="false">
      <c r="A30" s="9" t="s">
        <v>82</v>
      </c>
      <c r="B30" s="9" t="s">
        <v>17</v>
      </c>
      <c r="C30" s="9" t="s">
        <v>50</v>
      </c>
      <c r="D30" s="10" t="n">
        <v>10.99</v>
      </c>
      <c r="E30" s="9" t="s">
        <v>48</v>
      </c>
      <c r="F30" s="11" t="n">
        <v>10.99</v>
      </c>
    </row>
    <row r="31" customFormat="false" ht="15" hidden="false" customHeight="false" outlineLevel="0" collapsed="false">
      <c r="A31" s="9" t="s">
        <v>83</v>
      </c>
      <c r="B31" s="9" t="s">
        <v>17</v>
      </c>
      <c r="C31" s="9" t="s">
        <v>50</v>
      </c>
      <c r="D31" s="10" t="n">
        <v>3.99</v>
      </c>
      <c r="E31" s="9" t="s">
        <v>48</v>
      </c>
      <c r="F31" s="11" t="n">
        <v>3.99</v>
      </c>
    </row>
    <row r="32" customFormat="false" ht="15" hidden="false" customHeight="false" outlineLevel="0" collapsed="false">
      <c r="A32" s="9" t="s">
        <v>84</v>
      </c>
      <c r="B32" s="9" t="s">
        <v>17</v>
      </c>
      <c r="C32" s="9" t="s">
        <v>50</v>
      </c>
      <c r="D32" s="10" t="n">
        <v>3.99</v>
      </c>
      <c r="E32" s="9" t="s">
        <v>48</v>
      </c>
      <c r="F32" s="11" t="n">
        <v>3.99</v>
      </c>
    </row>
    <row r="33" customFormat="false" ht="15" hidden="false" customHeight="false" outlineLevel="0" collapsed="false">
      <c r="A33" s="9" t="s">
        <v>85</v>
      </c>
      <c r="B33" s="9" t="s">
        <v>17</v>
      </c>
      <c r="C33" s="9" t="s">
        <v>50</v>
      </c>
      <c r="D33" s="10" t="n">
        <v>3.99</v>
      </c>
      <c r="E33" s="9" t="s">
        <v>48</v>
      </c>
      <c r="F33" s="11" t="n">
        <v>3.99</v>
      </c>
    </row>
    <row r="34" customFormat="false" ht="15" hidden="false" customHeight="false" outlineLevel="0" collapsed="false">
      <c r="A34" s="9" t="s">
        <v>86</v>
      </c>
      <c r="B34" s="9" t="s">
        <v>17</v>
      </c>
      <c r="C34" s="9" t="s">
        <v>50</v>
      </c>
      <c r="D34" s="10" t="n">
        <v>11.99</v>
      </c>
      <c r="E34" s="9" t="s">
        <v>48</v>
      </c>
      <c r="F34" s="11" t="n">
        <v>11.99</v>
      </c>
    </row>
    <row r="35" customFormat="false" ht="15" hidden="false" customHeight="false" outlineLevel="0" collapsed="false">
      <c r="A35" s="9" t="s">
        <v>87</v>
      </c>
      <c r="B35" s="9" t="s">
        <v>17</v>
      </c>
      <c r="C35" s="9" t="s">
        <v>50</v>
      </c>
      <c r="D35" s="10" t="n">
        <v>11.99</v>
      </c>
      <c r="E35" s="9" t="s">
        <v>48</v>
      </c>
      <c r="F35" s="11" t="n">
        <v>11.99</v>
      </c>
    </row>
    <row r="36" customFormat="false" ht="15" hidden="false" customHeight="false" outlineLevel="0" collapsed="false">
      <c r="A36" s="9" t="s">
        <v>88</v>
      </c>
      <c r="B36" s="9" t="s">
        <v>17</v>
      </c>
      <c r="C36" s="9" t="s">
        <v>50</v>
      </c>
      <c r="D36" s="10" t="n">
        <v>4.99</v>
      </c>
      <c r="E36" s="9" t="s">
        <v>48</v>
      </c>
      <c r="F36" s="11" t="n">
        <v>4.99</v>
      </c>
    </row>
    <row r="37" customFormat="false" ht="15" hidden="false" customHeight="false" outlineLevel="0" collapsed="false">
      <c r="A37" s="9" t="s">
        <v>89</v>
      </c>
      <c r="B37" s="9" t="s">
        <v>21</v>
      </c>
      <c r="C37" s="9" t="s">
        <v>50</v>
      </c>
      <c r="D37" s="10" t="n">
        <v>5.59</v>
      </c>
      <c r="E37" s="9" t="s">
        <v>90</v>
      </c>
      <c r="F37" s="11" t="n">
        <v>4.99</v>
      </c>
    </row>
    <row r="38" customFormat="false" ht="15" hidden="false" customHeight="false" outlineLevel="0" collapsed="false">
      <c r="A38" s="9" t="s">
        <v>91</v>
      </c>
      <c r="B38" s="9" t="s">
        <v>21</v>
      </c>
      <c r="C38" s="9" t="s">
        <v>50</v>
      </c>
      <c r="D38" s="10" t="n">
        <v>11.19</v>
      </c>
      <c r="E38" s="9" t="s">
        <v>90</v>
      </c>
      <c r="F38" s="11" t="n">
        <v>9.99</v>
      </c>
    </row>
    <row r="39" customFormat="false" ht="15" hidden="false" customHeight="false" outlineLevel="0" collapsed="false">
      <c r="A39" s="9" t="s">
        <v>92</v>
      </c>
      <c r="B39" s="9" t="s">
        <v>21</v>
      </c>
      <c r="C39" s="9" t="s">
        <v>50</v>
      </c>
      <c r="D39" s="10" t="n">
        <v>8.95</v>
      </c>
      <c r="E39" s="9" t="s">
        <v>90</v>
      </c>
      <c r="F39" s="11" t="n">
        <v>7.99</v>
      </c>
    </row>
    <row r="40" customFormat="false" ht="15" hidden="false" customHeight="false" outlineLevel="0" collapsed="false">
      <c r="A40" s="9" t="s">
        <v>93</v>
      </c>
      <c r="B40" s="9" t="s">
        <v>21</v>
      </c>
      <c r="C40" s="9" t="s">
        <v>50</v>
      </c>
      <c r="D40" s="10" t="n">
        <v>12.32</v>
      </c>
      <c r="E40" s="9" t="s">
        <v>90</v>
      </c>
      <c r="F40" s="11" t="n">
        <v>10.99</v>
      </c>
    </row>
    <row r="41" customFormat="false" ht="15" hidden="false" customHeight="false" outlineLevel="0" collapsed="false">
      <c r="A41" s="9" t="s">
        <v>94</v>
      </c>
      <c r="B41" s="9" t="s">
        <v>21</v>
      </c>
      <c r="C41" s="9" t="s">
        <v>50</v>
      </c>
      <c r="D41" s="10" t="n">
        <v>8.95</v>
      </c>
      <c r="E41" s="9" t="s">
        <v>90</v>
      </c>
      <c r="F41" s="11" t="n">
        <v>7.99</v>
      </c>
    </row>
    <row r="42" customFormat="false" ht="15" hidden="false" customHeight="false" outlineLevel="0" collapsed="false">
      <c r="A42" s="9" t="s">
        <v>95</v>
      </c>
      <c r="B42" s="9" t="s">
        <v>21</v>
      </c>
      <c r="C42" s="9" t="s">
        <v>50</v>
      </c>
      <c r="D42" s="10" t="n">
        <v>8.95</v>
      </c>
      <c r="E42" s="9" t="s">
        <v>90</v>
      </c>
      <c r="F42" s="11" t="n">
        <v>7.99</v>
      </c>
    </row>
    <row r="43" customFormat="false" ht="15" hidden="false" customHeight="false" outlineLevel="0" collapsed="false">
      <c r="A43" s="9" t="s">
        <v>96</v>
      </c>
      <c r="B43" s="9" t="s">
        <v>21</v>
      </c>
      <c r="C43" s="9" t="s">
        <v>50</v>
      </c>
      <c r="D43" s="10" t="n">
        <v>12.32</v>
      </c>
      <c r="E43" s="9" t="s">
        <v>90</v>
      </c>
      <c r="F43" s="11" t="n">
        <v>10.99</v>
      </c>
    </row>
    <row r="44" customFormat="false" ht="15" hidden="false" customHeight="false" outlineLevel="0" collapsed="false">
      <c r="A44" s="9" t="s">
        <v>97</v>
      </c>
      <c r="B44" s="9" t="s">
        <v>21</v>
      </c>
      <c r="C44" s="9" t="s">
        <v>50</v>
      </c>
      <c r="D44" s="10" t="n">
        <v>5.59</v>
      </c>
      <c r="E44" s="9" t="s">
        <v>90</v>
      </c>
      <c r="F44" s="11" t="n">
        <v>4.99</v>
      </c>
    </row>
    <row r="45" customFormat="false" ht="15" hidden="false" customHeight="false" outlineLevel="0" collapsed="false">
      <c r="A45" s="9" t="s">
        <v>98</v>
      </c>
      <c r="B45" s="9" t="s">
        <v>21</v>
      </c>
      <c r="C45" s="9" t="s">
        <v>50</v>
      </c>
      <c r="D45" s="10" t="n">
        <v>6.71</v>
      </c>
      <c r="E45" s="9" t="s">
        <v>90</v>
      </c>
      <c r="F45" s="11" t="n">
        <v>5.99</v>
      </c>
    </row>
    <row r="46" customFormat="false" ht="15" hidden="false" customHeight="false" outlineLevel="0" collapsed="false">
      <c r="A46" s="9" t="s">
        <v>99</v>
      </c>
      <c r="B46" s="9" t="s">
        <v>21</v>
      </c>
      <c r="C46" s="9" t="s">
        <v>50</v>
      </c>
      <c r="D46" s="10" t="n">
        <v>6.71</v>
      </c>
      <c r="E46" s="9" t="s">
        <v>90</v>
      </c>
      <c r="F46" s="11" t="n">
        <v>5.99</v>
      </c>
    </row>
    <row r="47" customFormat="false" ht="15" hidden="false" customHeight="false" outlineLevel="0" collapsed="false">
      <c r="A47" s="9" t="s">
        <v>100</v>
      </c>
      <c r="B47" s="9" t="s">
        <v>21</v>
      </c>
      <c r="C47" s="9" t="s">
        <v>50</v>
      </c>
      <c r="D47" s="10" t="n">
        <v>10.07</v>
      </c>
      <c r="E47" s="9" t="s">
        <v>90</v>
      </c>
      <c r="F47" s="11" t="n">
        <v>8.99</v>
      </c>
    </row>
    <row r="48" customFormat="false" ht="15" hidden="false" customHeight="false" outlineLevel="0" collapsed="false">
      <c r="A48" s="9" t="s">
        <v>101</v>
      </c>
      <c r="B48" s="9" t="s">
        <v>21</v>
      </c>
      <c r="C48" s="9" t="s">
        <v>50</v>
      </c>
      <c r="D48" s="10" t="n">
        <v>11.9</v>
      </c>
      <c r="E48" s="9" t="s">
        <v>102</v>
      </c>
      <c r="F48" s="11" t="n">
        <v>259</v>
      </c>
    </row>
    <row r="49" customFormat="false" ht="15" hidden="false" customHeight="false" outlineLevel="0" collapsed="false">
      <c r="A49" s="9" t="s">
        <v>103</v>
      </c>
      <c r="B49" s="9" t="s">
        <v>21</v>
      </c>
      <c r="C49" s="9" t="s">
        <v>50</v>
      </c>
      <c r="D49" s="10" t="n">
        <v>16.34</v>
      </c>
      <c r="E49" s="9" t="s">
        <v>104</v>
      </c>
      <c r="F49" s="11" t="n">
        <v>109</v>
      </c>
    </row>
    <row r="50" customFormat="false" ht="15" hidden="false" customHeight="false" outlineLevel="0" collapsed="false">
      <c r="A50" s="9" t="s">
        <v>105</v>
      </c>
      <c r="B50" s="9" t="s">
        <v>21</v>
      </c>
      <c r="C50" s="9" t="s">
        <v>50</v>
      </c>
      <c r="D50" s="10" t="n">
        <v>8.95</v>
      </c>
      <c r="E50" s="9" t="s">
        <v>90</v>
      </c>
      <c r="F50" s="11" t="n">
        <v>7.99</v>
      </c>
    </row>
    <row r="51" customFormat="false" ht="15" hidden="false" customHeight="false" outlineLevel="0" collapsed="false">
      <c r="A51" s="9" t="s">
        <v>106</v>
      </c>
      <c r="B51" s="9" t="s">
        <v>21</v>
      </c>
      <c r="C51" s="9" t="s">
        <v>50</v>
      </c>
      <c r="D51" s="10" t="n">
        <v>12.32</v>
      </c>
      <c r="E51" s="9" t="s">
        <v>90</v>
      </c>
      <c r="F51" s="11" t="n">
        <v>10.99</v>
      </c>
    </row>
    <row r="52" customFormat="false" ht="15" hidden="false" customHeight="false" outlineLevel="0" collapsed="false">
      <c r="A52" s="9" t="s">
        <v>107</v>
      </c>
      <c r="B52" s="9" t="s">
        <v>21</v>
      </c>
      <c r="C52" s="9" t="s">
        <v>45</v>
      </c>
      <c r="D52" s="10" t="n">
        <v>8.95</v>
      </c>
      <c r="E52" s="9" t="s">
        <v>90</v>
      </c>
      <c r="F52" s="11" t="n">
        <v>7.99</v>
      </c>
    </row>
    <row r="53" customFormat="false" ht="15" hidden="false" customHeight="false" outlineLevel="0" collapsed="false">
      <c r="A53" s="9" t="s">
        <v>108</v>
      </c>
      <c r="B53" s="9" t="s">
        <v>21</v>
      </c>
      <c r="C53" s="9" t="s">
        <v>50</v>
      </c>
      <c r="D53" s="10" t="n">
        <v>10.52</v>
      </c>
      <c r="E53" s="9" t="s">
        <v>90</v>
      </c>
      <c r="F53" s="11" t="n">
        <v>9.39</v>
      </c>
    </row>
    <row r="54" customFormat="false" ht="15" hidden="false" customHeight="false" outlineLevel="0" collapsed="false">
      <c r="A54" s="9" t="s">
        <v>109</v>
      </c>
      <c r="B54" s="9" t="s">
        <v>21</v>
      </c>
      <c r="C54" s="9" t="s">
        <v>45</v>
      </c>
      <c r="D54" s="10" t="n">
        <v>7.83</v>
      </c>
      <c r="E54" s="9" t="s">
        <v>90</v>
      </c>
      <c r="F54" s="11" t="n">
        <v>6.99</v>
      </c>
    </row>
    <row r="55" customFormat="false" ht="15" hidden="false" customHeight="false" outlineLevel="0" collapsed="false">
      <c r="A55" s="9" t="s">
        <v>110</v>
      </c>
      <c r="B55" s="9" t="s">
        <v>21</v>
      </c>
      <c r="C55" s="9" t="s">
        <v>50</v>
      </c>
      <c r="D55" s="10" t="n">
        <v>10.07</v>
      </c>
      <c r="E55" s="9" t="s">
        <v>90</v>
      </c>
      <c r="F55" s="11" t="n">
        <v>8.99</v>
      </c>
    </row>
    <row r="56" customFormat="false" ht="15" hidden="false" customHeight="false" outlineLevel="0" collapsed="false">
      <c r="A56" s="9" t="s">
        <v>111</v>
      </c>
      <c r="B56" s="9" t="s">
        <v>21</v>
      </c>
      <c r="C56" s="9" t="s">
        <v>45</v>
      </c>
      <c r="D56" s="10" t="n">
        <v>7.83</v>
      </c>
      <c r="E56" s="9" t="s">
        <v>90</v>
      </c>
      <c r="F56" s="11" t="n">
        <v>6.99</v>
      </c>
    </row>
    <row r="57" customFormat="false" ht="15" hidden="false" customHeight="false" outlineLevel="0" collapsed="false">
      <c r="A57" s="9" t="s">
        <v>112</v>
      </c>
      <c r="B57" s="9" t="s">
        <v>21</v>
      </c>
      <c r="C57" s="9" t="s">
        <v>50</v>
      </c>
      <c r="D57" s="10" t="n">
        <v>9.78</v>
      </c>
      <c r="E57" s="9" t="s">
        <v>113</v>
      </c>
      <c r="F57" s="11" t="n">
        <v>3190</v>
      </c>
    </row>
    <row r="58" customFormat="false" ht="15" hidden="false" customHeight="false" outlineLevel="0" collapsed="false">
      <c r="A58" s="9" t="s">
        <v>114</v>
      </c>
      <c r="B58" s="9" t="s">
        <v>21</v>
      </c>
      <c r="C58" s="9" t="s">
        <v>50</v>
      </c>
      <c r="D58" s="10" t="n">
        <v>13.44</v>
      </c>
      <c r="E58" s="9" t="s">
        <v>90</v>
      </c>
      <c r="F58" s="11" t="n">
        <v>11.99</v>
      </c>
    </row>
    <row r="59" customFormat="false" ht="15" hidden="false" customHeight="false" outlineLevel="0" collapsed="false">
      <c r="A59" s="9" t="s">
        <v>115</v>
      </c>
      <c r="B59" s="9" t="s">
        <v>21</v>
      </c>
      <c r="C59" s="9" t="s">
        <v>50</v>
      </c>
      <c r="D59" s="10" t="n">
        <v>13.44</v>
      </c>
      <c r="E59" s="9" t="s">
        <v>90</v>
      </c>
      <c r="F59" s="11" t="n">
        <v>11.99</v>
      </c>
    </row>
    <row r="60" customFormat="false" ht="15" hidden="false" customHeight="false" outlineLevel="0" collapsed="false">
      <c r="A60" s="9" t="s">
        <v>116</v>
      </c>
      <c r="B60" s="9" t="s">
        <v>21</v>
      </c>
      <c r="C60" s="9" t="s">
        <v>45</v>
      </c>
      <c r="D60" s="10" t="n">
        <v>7.83</v>
      </c>
      <c r="E60" s="9" t="s">
        <v>90</v>
      </c>
      <c r="F60" s="11" t="n">
        <v>6.99</v>
      </c>
    </row>
    <row r="61" customFormat="false" ht="15" hidden="false" customHeight="false" outlineLevel="0" collapsed="false">
      <c r="A61" s="9" t="s">
        <v>117</v>
      </c>
      <c r="B61" s="9" t="s">
        <v>21</v>
      </c>
      <c r="C61" s="9" t="s">
        <v>50</v>
      </c>
      <c r="D61" s="10" t="n">
        <v>8.95</v>
      </c>
      <c r="E61" s="9" t="s">
        <v>90</v>
      </c>
      <c r="F61" s="11" t="n">
        <v>7.99</v>
      </c>
    </row>
    <row r="62" customFormat="false" ht="15" hidden="false" customHeight="false" outlineLevel="0" collapsed="false">
      <c r="A62" s="9" t="s">
        <v>118</v>
      </c>
      <c r="B62" s="9" t="s">
        <v>21</v>
      </c>
      <c r="C62" s="9" t="s">
        <v>50</v>
      </c>
      <c r="D62" s="10" t="n">
        <v>17.94</v>
      </c>
      <c r="E62" s="9" t="s">
        <v>119</v>
      </c>
      <c r="F62" s="11" t="n">
        <v>14.9</v>
      </c>
    </row>
    <row r="63" customFormat="false" ht="15" hidden="false" customHeight="false" outlineLevel="0" collapsed="false">
      <c r="A63" s="9" t="s">
        <v>120</v>
      </c>
      <c r="B63" s="9" t="s">
        <v>21</v>
      </c>
      <c r="C63" s="9" t="s">
        <v>50</v>
      </c>
      <c r="D63" s="10" t="n">
        <v>10.07</v>
      </c>
      <c r="E63" s="9" t="s">
        <v>90</v>
      </c>
      <c r="F63" s="11" t="n">
        <v>8.99</v>
      </c>
    </row>
    <row r="64" customFormat="false" ht="15" hidden="false" customHeight="false" outlineLevel="0" collapsed="false">
      <c r="A64" s="9" t="s">
        <v>121</v>
      </c>
      <c r="B64" s="9" t="s">
        <v>21</v>
      </c>
      <c r="C64" s="9" t="s">
        <v>50</v>
      </c>
      <c r="D64" s="10" t="n">
        <v>12.32</v>
      </c>
      <c r="E64" s="9" t="s">
        <v>90</v>
      </c>
      <c r="F64" s="11" t="n">
        <v>10.99</v>
      </c>
    </row>
    <row r="65" customFormat="false" ht="15" hidden="false" customHeight="false" outlineLevel="0" collapsed="false">
      <c r="A65" s="9" t="s">
        <v>122</v>
      </c>
      <c r="B65" s="9" t="s">
        <v>21</v>
      </c>
      <c r="C65" s="9" t="s">
        <v>50</v>
      </c>
      <c r="D65" s="10" t="n">
        <v>10.07</v>
      </c>
      <c r="E65" s="9" t="s">
        <v>90</v>
      </c>
      <c r="F65" s="11" t="n">
        <v>8.99</v>
      </c>
    </row>
    <row r="66" customFormat="false" ht="15" hidden="false" customHeight="false" outlineLevel="0" collapsed="false">
      <c r="A66" s="9" t="s">
        <v>123</v>
      </c>
      <c r="B66" s="9" t="s">
        <v>21</v>
      </c>
      <c r="C66" s="9" t="s">
        <v>50</v>
      </c>
      <c r="D66" s="10" t="n">
        <v>8.95</v>
      </c>
      <c r="E66" s="9" t="s">
        <v>90</v>
      </c>
      <c r="F66" s="11" t="n">
        <v>7.99</v>
      </c>
    </row>
    <row r="67" customFormat="false" ht="15" hidden="false" customHeight="false" outlineLevel="0" collapsed="false">
      <c r="A67" s="9" t="s">
        <v>124</v>
      </c>
      <c r="B67" s="9" t="s">
        <v>21</v>
      </c>
      <c r="C67" s="9" t="s">
        <v>50</v>
      </c>
      <c r="D67" s="10" t="n">
        <v>13.44</v>
      </c>
      <c r="E67" s="9" t="s">
        <v>90</v>
      </c>
      <c r="F67" s="11" t="n">
        <v>11.99</v>
      </c>
    </row>
    <row r="68" customFormat="false" ht="15" hidden="false" customHeight="false" outlineLevel="0" collapsed="false">
      <c r="A68" s="9" t="s">
        <v>125</v>
      </c>
      <c r="B68" s="9" t="s">
        <v>21</v>
      </c>
      <c r="C68" s="9" t="s">
        <v>50</v>
      </c>
      <c r="D68" s="10" t="n">
        <v>5.59</v>
      </c>
      <c r="E68" s="9" t="s">
        <v>90</v>
      </c>
      <c r="F68" s="11" t="n">
        <v>4.99</v>
      </c>
    </row>
    <row r="69" customFormat="false" ht="15" hidden="false" customHeight="false" outlineLevel="0" collapsed="false">
      <c r="A69" s="9" t="s">
        <v>126</v>
      </c>
      <c r="B69" s="9" t="s">
        <v>21</v>
      </c>
      <c r="C69" s="9" t="s">
        <v>50</v>
      </c>
      <c r="D69" s="10" t="n">
        <v>11.19</v>
      </c>
      <c r="E69" s="9" t="s">
        <v>90</v>
      </c>
      <c r="F69" s="11" t="n">
        <v>9.99</v>
      </c>
    </row>
    <row r="70" customFormat="false" ht="15" hidden="false" customHeight="false" outlineLevel="0" collapsed="false">
      <c r="A70" s="9" t="s">
        <v>127</v>
      </c>
      <c r="B70" s="9" t="s">
        <v>21</v>
      </c>
      <c r="C70" s="9" t="s">
        <v>50</v>
      </c>
      <c r="D70" s="10" t="n">
        <v>5.59</v>
      </c>
      <c r="E70" s="9" t="s">
        <v>90</v>
      </c>
      <c r="F70" s="11" t="n">
        <v>4.99</v>
      </c>
    </row>
    <row r="71" customFormat="false" ht="15" hidden="false" customHeight="false" outlineLevel="0" collapsed="false">
      <c r="A71" s="9" t="s">
        <v>128</v>
      </c>
      <c r="B71" s="9" t="s">
        <v>21</v>
      </c>
      <c r="C71" s="9" t="s">
        <v>50</v>
      </c>
      <c r="D71" s="10" t="n">
        <v>12.44</v>
      </c>
      <c r="E71" s="9" t="s">
        <v>129</v>
      </c>
      <c r="F71" s="11" t="n">
        <v>119</v>
      </c>
    </row>
    <row r="72" customFormat="false" ht="15" hidden="false" customHeight="false" outlineLevel="0" collapsed="false">
      <c r="A72" s="9" t="s">
        <v>130</v>
      </c>
      <c r="B72" s="9" t="s">
        <v>21</v>
      </c>
      <c r="C72" s="9" t="s">
        <v>50</v>
      </c>
      <c r="D72" s="10" t="n">
        <v>9.46</v>
      </c>
      <c r="E72" s="9" t="s">
        <v>131</v>
      </c>
      <c r="F72" s="11" t="n">
        <v>37</v>
      </c>
    </row>
    <row r="73" customFormat="false" ht="15" hidden="false" customHeight="false" outlineLevel="0" collapsed="false">
      <c r="A73" s="9" t="s">
        <v>132</v>
      </c>
      <c r="B73" s="9" t="s">
        <v>21</v>
      </c>
      <c r="C73" s="9" t="s">
        <v>50</v>
      </c>
      <c r="D73" s="10" t="n">
        <v>10.07</v>
      </c>
      <c r="E73" s="9" t="s">
        <v>90</v>
      </c>
      <c r="F73" s="11" t="n">
        <v>8.99</v>
      </c>
    </row>
    <row r="74" customFormat="false" ht="15" hidden="false" customHeight="false" outlineLevel="0" collapsed="false">
      <c r="A74" s="9" t="s">
        <v>133</v>
      </c>
      <c r="B74" s="9" t="s">
        <v>21</v>
      </c>
      <c r="C74" s="9" t="s">
        <v>50</v>
      </c>
      <c r="D74" s="10" t="n">
        <v>6.71</v>
      </c>
      <c r="E74" s="9" t="s">
        <v>90</v>
      </c>
      <c r="F74" s="11" t="n">
        <v>5.99</v>
      </c>
    </row>
    <row r="75" customFormat="false" ht="15" hidden="false" customHeight="false" outlineLevel="0" collapsed="false">
      <c r="A75" s="9" t="s">
        <v>134</v>
      </c>
      <c r="B75" s="9" t="s">
        <v>21</v>
      </c>
      <c r="C75" s="9" t="s">
        <v>45</v>
      </c>
      <c r="D75" s="10" t="n">
        <v>7.83</v>
      </c>
      <c r="E75" s="9" t="s">
        <v>90</v>
      </c>
      <c r="F75" s="11" t="n">
        <v>6.99</v>
      </c>
    </row>
    <row r="76" customFormat="false" ht="15" hidden="false" customHeight="false" outlineLevel="0" collapsed="false">
      <c r="A76" s="9" t="s">
        <v>135</v>
      </c>
      <c r="B76" s="9" t="s">
        <v>21</v>
      </c>
      <c r="C76" s="9" t="s">
        <v>50</v>
      </c>
      <c r="D76" s="10" t="n">
        <v>6.71</v>
      </c>
      <c r="E76" s="9" t="s">
        <v>90</v>
      </c>
      <c r="F76" s="11" t="n">
        <v>5.99</v>
      </c>
    </row>
    <row r="77" customFormat="false" ht="15" hidden="false" customHeight="false" outlineLevel="0" collapsed="false">
      <c r="A77" s="9" t="s">
        <v>136</v>
      </c>
      <c r="B77" s="9" t="s">
        <v>21</v>
      </c>
      <c r="C77" s="9" t="s">
        <v>50</v>
      </c>
      <c r="D77" s="10" t="n">
        <v>10.63</v>
      </c>
      <c r="E77" s="9" t="s">
        <v>90</v>
      </c>
      <c r="F77" s="11" t="n">
        <v>9.49</v>
      </c>
    </row>
    <row r="78" customFormat="false" ht="15" hidden="false" customHeight="false" outlineLevel="0" collapsed="false">
      <c r="A78" s="9" t="s">
        <v>137</v>
      </c>
      <c r="B78" s="9" t="s">
        <v>21</v>
      </c>
      <c r="C78" s="9" t="s">
        <v>50</v>
      </c>
      <c r="D78" s="10" t="n">
        <v>6.71</v>
      </c>
      <c r="E78" s="9" t="s">
        <v>90</v>
      </c>
      <c r="F78" s="11" t="n">
        <v>5.99</v>
      </c>
    </row>
    <row r="79" customFormat="false" ht="15" hidden="false" customHeight="false" outlineLevel="0" collapsed="false">
      <c r="A79" s="9" t="s">
        <v>138</v>
      </c>
      <c r="B79" s="9" t="s">
        <v>21</v>
      </c>
      <c r="C79" s="9" t="s">
        <v>45</v>
      </c>
      <c r="D79" s="10" t="n">
        <v>10.07</v>
      </c>
      <c r="E79" s="9" t="s">
        <v>90</v>
      </c>
      <c r="F79" s="11" t="n">
        <v>8.99</v>
      </c>
    </row>
    <row r="80" customFormat="false" ht="15" hidden="false" customHeight="false" outlineLevel="0" collapsed="false">
      <c r="A80" s="9" t="s">
        <v>139</v>
      </c>
      <c r="B80" s="9" t="s">
        <v>21</v>
      </c>
      <c r="C80" s="9" t="s">
        <v>50</v>
      </c>
      <c r="D80" s="10" t="n">
        <v>12.91</v>
      </c>
      <c r="E80" s="9" t="s">
        <v>140</v>
      </c>
      <c r="F80" s="11" t="n">
        <v>129</v>
      </c>
    </row>
    <row r="81" customFormat="false" ht="15" hidden="false" customHeight="false" outlineLevel="0" collapsed="false">
      <c r="A81" s="9" t="s">
        <v>141</v>
      </c>
      <c r="B81" s="9" t="s">
        <v>21</v>
      </c>
      <c r="C81" s="9" t="s">
        <v>50</v>
      </c>
      <c r="D81" s="10" t="n">
        <v>17.94</v>
      </c>
      <c r="E81" s="9" t="s">
        <v>119</v>
      </c>
      <c r="F81" s="11" t="n">
        <v>14.9</v>
      </c>
    </row>
    <row r="82" customFormat="false" ht="15" hidden="false" customHeight="false" outlineLevel="0" collapsed="false">
      <c r="A82" s="9" t="s">
        <v>142</v>
      </c>
      <c r="B82" s="9" t="s">
        <v>21</v>
      </c>
      <c r="C82" s="9" t="s">
        <v>50</v>
      </c>
      <c r="D82" s="10" t="n">
        <v>5.27</v>
      </c>
      <c r="E82" s="9" t="s">
        <v>143</v>
      </c>
      <c r="F82" s="11" t="n">
        <v>259.99</v>
      </c>
    </row>
    <row r="83" customFormat="false" ht="15" hidden="false" customHeight="false" outlineLevel="0" collapsed="false">
      <c r="A83" s="9" t="s">
        <v>144</v>
      </c>
      <c r="B83" s="9" t="s">
        <v>21</v>
      </c>
      <c r="C83" s="9" t="s">
        <v>50</v>
      </c>
      <c r="D83" s="10" t="n">
        <v>5.59</v>
      </c>
      <c r="E83" s="9" t="s">
        <v>90</v>
      </c>
      <c r="F83" s="11" t="n">
        <v>4.99</v>
      </c>
    </row>
    <row r="84" customFormat="false" ht="15" hidden="false" customHeight="false" outlineLevel="0" collapsed="false">
      <c r="A84" s="9" t="s">
        <v>145</v>
      </c>
      <c r="B84" s="9" t="s">
        <v>21</v>
      </c>
      <c r="C84" s="9" t="s">
        <v>146</v>
      </c>
      <c r="D84" s="10" t="n">
        <v>10.57</v>
      </c>
      <c r="E84" s="9" t="s">
        <v>147</v>
      </c>
      <c r="F84" s="11" t="n">
        <v>7.99</v>
      </c>
    </row>
    <row r="85" customFormat="false" ht="15" hidden="false" customHeight="false" outlineLevel="0" collapsed="false">
      <c r="A85" s="9" t="s">
        <v>148</v>
      </c>
      <c r="B85" s="9" t="s">
        <v>25</v>
      </c>
      <c r="C85" s="9" t="s">
        <v>50</v>
      </c>
      <c r="D85" s="10" t="n">
        <v>7.99</v>
      </c>
      <c r="E85" s="9" t="s">
        <v>48</v>
      </c>
      <c r="F85" s="11" t="n">
        <v>7.99</v>
      </c>
    </row>
    <row r="86" customFormat="false" ht="15" hidden="false" customHeight="false" outlineLevel="0" collapsed="false">
      <c r="A86" s="9" t="s">
        <v>149</v>
      </c>
      <c r="B86" s="9" t="s">
        <v>25</v>
      </c>
      <c r="C86" s="9" t="s">
        <v>50</v>
      </c>
      <c r="D86" s="10" t="n">
        <v>3.99</v>
      </c>
      <c r="E86" s="9" t="s">
        <v>48</v>
      </c>
      <c r="F86" s="11" t="n">
        <v>3.99</v>
      </c>
    </row>
    <row r="87" customFormat="false" ht="15" hidden="false" customHeight="false" outlineLevel="0" collapsed="false">
      <c r="A87" s="9" t="s">
        <v>150</v>
      </c>
      <c r="B87" s="9" t="s">
        <v>25</v>
      </c>
      <c r="C87" s="9" t="s">
        <v>50</v>
      </c>
      <c r="D87" s="10" t="n">
        <v>3.99</v>
      </c>
      <c r="E87" s="9" t="s">
        <v>48</v>
      </c>
      <c r="F87" s="11" t="n">
        <v>3.99</v>
      </c>
    </row>
    <row r="88" customFormat="false" ht="15" hidden="false" customHeight="false" outlineLevel="0" collapsed="false">
      <c r="A88" s="9" t="s">
        <v>151</v>
      </c>
      <c r="B88" s="9" t="s">
        <v>25</v>
      </c>
      <c r="C88" s="9" t="s">
        <v>50</v>
      </c>
      <c r="D88" s="10" t="n">
        <v>10.74</v>
      </c>
      <c r="E88" s="9" t="s">
        <v>152</v>
      </c>
      <c r="F88" s="11" t="n">
        <v>32.9</v>
      </c>
    </row>
    <row r="89" customFormat="false" ht="15" hidden="false" customHeight="false" outlineLevel="0" collapsed="false">
      <c r="A89" s="9" t="s">
        <v>153</v>
      </c>
      <c r="B89" s="9" t="s">
        <v>25</v>
      </c>
      <c r="C89" s="9" t="s">
        <v>50</v>
      </c>
      <c r="D89" s="10" t="n">
        <v>3.99</v>
      </c>
      <c r="E89" s="9" t="s">
        <v>48</v>
      </c>
      <c r="F89" s="11" t="n">
        <v>3.99</v>
      </c>
    </row>
    <row r="90" customFormat="false" ht="15" hidden="false" customHeight="false" outlineLevel="0" collapsed="false">
      <c r="A90" s="9" t="s">
        <v>154</v>
      </c>
      <c r="B90" s="9" t="s">
        <v>25</v>
      </c>
      <c r="C90" s="9" t="s">
        <v>50</v>
      </c>
      <c r="D90" s="10" t="n">
        <v>8.99</v>
      </c>
      <c r="E90" s="9" t="s">
        <v>48</v>
      </c>
      <c r="F90" s="11" t="n">
        <v>8.99</v>
      </c>
    </row>
    <row r="91" customFormat="false" ht="15" hidden="false" customHeight="false" outlineLevel="0" collapsed="false">
      <c r="A91" s="9" t="s">
        <v>155</v>
      </c>
      <c r="B91" s="9" t="s">
        <v>25</v>
      </c>
      <c r="C91" s="9" t="s">
        <v>50</v>
      </c>
      <c r="D91" s="10" t="n">
        <v>3.99</v>
      </c>
      <c r="E91" s="9" t="s">
        <v>48</v>
      </c>
      <c r="F91" s="11" t="n">
        <v>3.99</v>
      </c>
    </row>
    <row r="92" customFormat="false" ht="15" hidden="false" customHeight="false" outlineLevel="0" collapsed="false">
      <c r="A92" s="9" t="s">
        <v>156</v>
      </c>
      <c r="B92" s="9" t="s">
        <v>25</v>
      </c>
      <c r="C92" s="9" t="s">
        <v>50</v>
      </c>
      <c r="D92" s="10" t="n">
        <v>8.39</v>
      </c>
      <c r="E92" s="9" t="s">
        <v>48</v>
      </c>
      <c r="F92" s="11" t="n">
        <v>8.39</v>
      </c>
    </row>
    <row r="93" customFormat="false" ht="15" hidden="false" customHeight="false" outlineLevel="0" collapsed="false">
      <c r="A93" s="9" t="s">
        <v>157</v>
      </c>
      <c r="B93" s="9" t="s">
        <v>25</v>
      </c>
      <c r="C93" s="9" t="s">
        <v>50</v>
      </c>
      <c r="D93" s="10" t="n">
        <v>3.99</v>
      </c>
      <c r="E93" s="9" t="s">
        <v>48</v>
      </c>
      <c r="F93" s="11" t="n">
        <v>3.99</v>
      </c>
    </row>
    <row r="94" customFormat="false" ht="15" hidden="false" customHeight="false" outlineLevel="0" collapsed="false">
      <c r="A94" s="9" t="s">
        <v>158</v>
      </c>
      <c r="B94" s="9" t="s">
        <v>25</v>
      </c>
      <c r="C94" s="9" t="s">
        <v>50</v>
      </c>
      <c r="D94" s="10" t="n">
        <v>8.99</v>
      </c>
      <c r="E94" s="9" t="s">
        <v>48</v>
      </c>
      <c r="F94" s="11" t="n">
        <v>8.99</v>
      </c>
    </row>
    <row r="95" customFormat="false" ht="15" hidden="false" customHeight="false" outlineLevel="0" collapsed="false">
      <c r="A95" s="9" t="s">
        <v>159</v>
      </c>
      <c r="B95" s="9" t="s">
        <v>25</v>
      </c>
      <c r="C95" s="9" t="s">
        <v>50</v>
      </c>
      <c r="D95" s="10" t="n">
        <v>9.33</v>
      </c>
      <c r="E95" s="9" t="s">
        <v>160</v>
      </c>
      <c r="F95" s="11" t="n">
        <v>35</v>
      </c>
    </row>
    <row r="96" customFormat="false" ht="15" hidden="false" customHeight="false" outlineLevel="0" collapsed="false">
      <c r="A96" s="9" t="s">
        <v>161</v>
      </c>
      <c r="B96" s="9" t="s">
        <v>25</v>
      </c>
      <c r="C96" s="9" t="s">
        <v>50</v>
      </c>
      <c r="D96" s="10" t="n">
        <v>9.53</v>
      </c>
      <c r="E96" s="9" t="s">
        <v>162</v>
      </c>
      <c r="F96" s="11" t="n">
        <v>35</v>
      </c>
    </row>
    <row r="97" customFormat="false" ht="15" hidden="false" customHeight="false" outlineLevel="0" collapsed="false">
      <c r="A97" s="9" t="s">
        <v>163</v>
      </c>
      <c r="B97" s="9" t="s">
        <v>25</v>
      </c>
      <c r="C97" s="9" t="s">
        <v>50</v>
      </c>
      <c r="D97" s="10" t="n">
        <v>3.99</v>
      </c>
      <c r="E97" s="9" t="s">
        <v>48</v>
      </c>
      <c r="F97" s="11" t="n">
        <v>3.99</v>
      </c>
    </row>
    <row r="98" customFormat="false" ht="15" hidden="false" customHeight="false" outlineLevel="0" collapsed="false">
      <c r="A98" s="9" t="s">
        <v>164</v>
      </c>
      <c r="B98" s="9" t="s">
        <v>29</v>
      </c>
      <c r="C98" s="9" t="s">
        <v>50</v>
      </c>
      <c r="D98" s="10" t="n">
        <v>3.99</v>
      </c>
      <c r="E98" s="9" t="s">
        <v>48</v>
      </c>
      <c r="F98" s="11" t="n">
        <v>3.99</v>
      </c>
    </row>
    <row r="99" customFormat="false" ht="15" hidden="false" customHeight="false" outlineLevel="0" collapsed="false">
      <c r="A99" s="9" t="s">
        <v>165</v>
      </c>
      <c r="B99" s="9" t="s">
        <v>29</v>
      </c>
      <c r="C99" s="9" t="s">
        <v>166</v>
      </c>
      <c r="D99" s="10" t="n">
        <v>2.99</v>
      </c>
      <c r="E99" s="9" t="s">
        <v>48</v>
      </c>
      <c r="F99" s="11" t="n">
        <v>2.99</v>
      </c>
    </row>
    <row r="100" customFormat="false" ht="15" hidden="false" customHeight="false" outlineLevel="0" collapsed="false">
      <c r="A100" s="9" t="s">
        <v>167</v>
      </c>
      <c r="B100" s="9" t="s">
        <v>29</v>
      </c>
      <c r="C100" s="9" t="s">
        <v>166</v>
      </c>
      <c r="D100" s="10" t="n">
        <v>2.99</v>
      </c>
      <c r="E100" s="9" t="s">
        <v>48</v>
      </c>
      <c r="F100" s="11" t="n">
        <v>2.99</v>
      </c>
    </row>
    <row r="101" customFormat="false" ht="15" hidden="false" customHeight="false" outlineLevel="0" collapsed="false">
      <c r="A101" s="9" t="s">
        <v>168</v>
      </c>
      <c r="B101" s="9" t="s">
        <v>29</v>
      </c>
      <c r="C101" s="9" t="s">
        <v>166</v>
      </c>
      <c r="D101" s="10" t="n">
        <v>2.99</v>
      </c>
      <c r="E101" s="9" t="s">
        <v>48</v>
      </c>
      <c r="F101" s="11" t="n">
        <v>2.99</v>
      </c>
    </row>
    <row r="102" customFormat="false" ht="15" hidden="false" customHeight="false" outlineLevel="0" collapsed="false">
      <c r="A102" s="9" t="s">
        <v>169</v>
      </c>
      <c r="B102" s="9" t="s">
        <v>29</v>
      </c>
      <c r="C102" s="9" t="s">
        <v>166</v>
      </c>
      <c r="D102" s="10" t="n">
        <v>2.99</v>
      </c>
      <c r="E102" s="9" t="s">
        <v>48</v>
      </c>
      <c r="F102" s="11" t="n">
        <v>2.99</v>
      </c>
    </row>
    <row r="103" customFormat="false" ht="15" hidden="false" customHeight="false" outlineLevel="0" collapsed="false">
      <c r="A103" s="9" t="s">
        <v>170</v>
      </c>
      <c r="B103" s="9" t="s">
        <v>29</v>
      </c>
      <c r="C103" s="9" t="s">
        <v>166</v>
      </c>
      <c r="D103" s="10" t="n">
        <v>2.99</v>
      </c>
      <c r="E103" s="9" t="s">
        <v>48</v>
      </c>
      <c r="F103" s="11" t="n">
        <v>2.99</v>
      </c>
    </row>
    <row r="104" customFormat="false" ht="15" hidden="false" customHeight="false" outlineLevel="0" collapsed="false">
      <c r="A104" s="9" t="s">
        <v>171</v>
      </c>
      <c r="B104" s="9" t="s">
        <v>29</v>
      </c>
      <c r="C104" s="9" t="s">
        <v>166</v>
      </c>
      <c r="D104" s="10" t="n">
        <v>2.99</v>
      </c>
      <c r="E104" s="9" t="s">
        <v>48</v>
      </c>
      <c r="F104" s="11" t="n">
        <v>2.99</v>
      </c>
    </row>
    <row r="105" customFormat="false" ht="15" hidden="false" customHeight="false" outlineLevel="0" collapsed="false">
      <c r="A105" s="9" t="s">
        <v>172</v>
      </c>
      <c r="B105" s="9" t="s">
        <v>29</v>
      </c>
      <c r="C105" s="9" t="s">
        <v>166</v>
      </c>
      <c r="D105" s="10" t="n">
        <v>2.99</v>
      </c>
      <c r="E105" s="9" t="s">
        <v>48</v>
      </c>
      <c r="F105" s="11" t="n">
        <v>2.99</v>
      </c>
    </row>
    <row r="106" customFormat="false" ht="15" hidden="false" customHeight="false" outlineLevel="0" collapsed="false">
      <c r="A106" s="9" t="s">
        <v>173</v>
      </c>
      <c r="B106" s="9" t="s">
        <v>29</v>
      </c>
      <c r="C106" s="9" t="s">
        <v>166</v>
      </c>
      <c r="D106" s="10" t="n">
        <v>2.99</v>
      </c>
      <c r="E106" s="9" t="s">
        <v>48</v>
      </c>
      <c r="F106" s="11" t="n">
        <v>2.99</v>
      </c>
    </row>
    <row r="107" customFormat="false" ht="15" hidden="false" customHeight="false" outlineLevel="0" collapsed="false">
      <c r="A107" s="9" t="s">
        <v>174</v>
      </c>
      <c r="B107" s="9" t="s">
        <v>29</v>
      </c>
      <c r="C107" s="9" t="s">
        <v>166</v>
      </c>
      <c r="D107" s="10" t="n">
        <v>2.99</v>
      </c>
      <c r="E107" s="9" t="s">
        <v>48</v>
      </c>
      <c r="F107" s="11" t="n">
        <v>2.99</v>
      </c>
    </row>
    <row r="108" customFormat="false" ht="15" hidden="false" customHeight="false" outlineLevel="0" collapsed="false">
      <c r="A108" s="9" t="s">
        <v>175</v>
      </c>
      <c r="B108" s="9" t="s">
        <v>29</v>
      </c>
      <c r="C108" s="9" t="s">
        <v>166</v>
      </c>
      <c r="D108" s="10" t="n">
        <v>2.99</v>
      </c>
      <c r="E108" s="9" t="s">
        <v>48</v>
      </c>
      <c r="F108" s="11" t="n">
        <v>2.99</v>
      </c>
    </row>
    <row r="109" customFormat="false" ht="15" hidden="false" customHeight="false" outlineLevel="0" collapsed="false">
      <c r="A109" s="9" t="s">
        <v>176</v>
      </c>
      <c r="B109" s="9" t="s">
        <v>29</v>
      </c>
      <c r="C109" s="9" t="s">
        <v>166</v>
      </c>
      <c r="D109" s="10" t="n">
        <v>2.99</v>
      </c>
      <c r="E109" s="9" t="s">
        <v>48</v>
      </c>
      <c r="F109" s="11" t="n">
        <v>2.99</v>
      </c>
    </row>
    <row r="110" customFormat="false" ht="15" hidden="false" customHeight="false" outlineLevel="0" collapsed="false">
      <c r="A110" s="9" t="s">
        <v>177</v>
      </c>
      <c r="B110" s="9" t="s">
        <v>29</v>
      </c>
      <c r="C110" s="9" t="s">
        <v>166</v>
      </c>
      <c r="D110" s="10" t="n">
        <v>2.99</v>
      </c>
      <c r="E110" s="9" t="s">
        <v>48</v>
      </c>
      <c r="F110" s="11" t="n">
        <v>2.99</v>
      </c>
    </row>
    <row r="111" customFormat="false" ht="15" hidden="false" customHeight="false" outlineLevel="0" collapsed="false">
      <c r="A111" s="9" t="s">
        <v>178</v>
      </c>
      <c r="B111" s="9" t="s">
        <v>29</v>
      </c>
      <c r="C111" s="9" t="s">
        <v>166</v>
      </c>
      <c r="D111" s="10" t="n">
        <v>2.99</v>
      </c>
      <c r="E111" s="9" t="s">
        <v>48</v>
      </c>
      <c r="F111" s="11" t="n">
        <v>2.99</v>
      </c>
    </row>
    <row r="112" customFormat="false" ht="15" hidden="false" customHeight="false" outlineLevel="0" collapsed="false">
      <c r="A112" s="9" t="s">
        <v>179</v>
      </c>
      <c r="B112" s="9" t="s">
        <v>29</v>
      </c>
      <c r="C112" s="9" t="s">
        <v>166</v>
      </c>
      <c r="D112" s="10" t="n">
        <v>2.99</v>
      </c>
      <c r="E112" s="9" t="s">
        <v>48</v>
      </c>
      <c r="F112" s="11" t="n">
        <v>2.99</v>
      </c>
    </row>
    <row r="113" customFormat="false" ht="15" hidden="false" customHeight="false" outlineLevel="0" collapsed="false">
      <c r="A113" s="9" t="s">
        <v>180</v>
      </c>
      <c r="B113" s="9" t="s">
        <v>29</v>
      </c>
      <c r="C113" s="9" t="s">
        <v>50</v>
      </c>
      <c r="D113" s="10" t="n">
        <v>2.1</v>
      </c>
      <c r="E113" s="9" t="s">
        <v>181</v>
      </c>
      <c r="F113" s="11" t="n">
        <v>110</v>
      </c>
    </row>
    <row r="114" customFormat="false" ht="15" hidden="false" customHeight="false" outlineLevel="0" collapsed="false">
      <c r="A114" s="9" t="s">
        <v>182</v>
      </c>
      <c r="B114" s="9" t="s">
        <v>29</v>
      </c>
      <c r="C114" s="9" t="s">
        <v>166</v>
      </c>
      <c r="D114" s="10" t="n">
        <v>2.99</v>
      </c>
      <c r="E114" s="9" t="s">
        <v>48</v>
      </c>
      <c r="F114" s="11" t="n">
        <v>2.99</v>
      </c>
    </row>
    <row r="115" customFormat="false" ht="15" hidden="false" customHeight="false" outlineLevel="0" collapsed="false">
      <c r="A115" s="9" t="s">
        <v>183</v>
      </c>
      <c r="B115" s="9" t="s">
        <v>29</v>
      </c>
      <c r="C115" s="9" t="s">
        <v>166</v>
      </c>
      <c r="D115" s="10" t="n">
        <v>2.99</v>
      </c>
      <c r="E115" s="9" t="s">
        <v>48</v>
      </c>
      <c r="F115" s="11" t="n">
        <v>2.99</v>
      </c>
    </row>
    <row r="116" customFormat="false" ht="15" hidden="false" customHeight="false" outlineLevel="0" collapsed="false">
      <c r="A116" s="9" t="s">
        <v>184</v>
      </c>
      <c r="B116" s="9" t="s">
        <v>29</v>
      </c>
      <c r="C116" s="9" t="s">
        <v>166</v>
      </c>
      <c r="D116" s="10" t="n">
        <v>2.99</v>
      </c>
      <c r="E116" s="9" t="s">
        <v>48</v>
      </c>
      <c r="F116" s="11" t="n">
        <v>2.99</v>
      </c>
    </row>
    <row r="117" customFormat="false" ht="15" hidden="false" customHeight="false" outlineLevel="0" collapsed="false">
      <c r="A117" s="9" t="s">
        <v>185</v>
      </c>
      <c r="B117" s="9" t="s">
        <v>29</v>
      </c>
      <c r="C117" s="9" t="s">
        <v>166</v>
      </c>
      <c r="D117" s="10" t="n">
        <v>2.99</v>
      </c>
      <c r="E117" s="9" t="s">
        <v>48</v>
      </c>
      <c r="F117" s="11" t="n">
        <v>2.99</v>
      </c>
    </row>
    <row r="118" customFormat="false" ht="15" hidden="false" customHeight="false" outlineLevel="0" collapsed="false">
      <c r="A118" s="9" t="s">
        <v>186</v>
      </c>
      <c r="B118" s="9" t="s">
        <v>29</v>
      </c>
      <c r="C118" s="9" t="s">
        <v>166</v>
      </c>
      <c r="D118" s="10" t="n">
        <v>2.99</v>
      </c>
      <c r="E118" s="9" t="s">
        <v>48</v>
      </c>
      <c r="F118" s="11" t="n">
        <v>2.99</v>
      </c>
    </row>
    <row r="119" customFormat="false" ht="15" hidden="false" customHeight="false" outlineLevel="0" collapsed="false">
      <c r="A119" s="9" t="s">
        <v>187</v>
      </c>
      <c r="B119" s="9" t="s">
        <v>29</v>
      </c>
      <c r="C119" s="9" t="s">
        <v>166</v>
      </c>
      <c r="D119" s="10" t="n">
        <v>2.99</v>
      </c>
      <c r="E119" s="9" t="s">
        <v>48</v>
      </c>
      <c r="F119" s="11" t="n">
        <v>2.99</v>
      </c>
    </row>
    <row r="120" customFormat="false" ht="15" hidden="false" customHeight="false" outlineLevel="0" collapsed="false">
      <c r="A120" s="9" t="s">
        <v>188</v>
      </c>
      <c r="B120" s="9" t="s">
        <v>29</v>
      </c>
      <c r="C120" s="9" t="s">
        <v>166</v>
      </c>
      <c r="D120" s="10" t="n">
        <v>2.99</v>
      </c>
      <c r="E120" s="9" t="s">
        <v>48</v>
      </c>
      <c r="F120" s="11" t="n">
        <v>2.99</v>
      </c>
    </row>
    <row r="121" customFormat="false" ht="15" hidden="false" customHeight="false" outlineLevel="0" collapsed="false">
      <c r="A121" s="9" t="s">
        <v>189</v>
      </c>
      <c r="B121" s="9" t="s">
        <v>29</v>
      </c>
      <c r="C121" s="9" t="s">
        <v>166</v>
      </c>
      <c r="D121" s="10" t="n">
        <v>2.99</v>
      </c>
      <c r="E121" s="9" t="s">
        <v>48</v>
      </c>
      <c r="F121" s="11" t="n">
        <v>2.99</v>
      </c>
    </row>
    <row r="122" customFormat="false" ht="15" hidden="false" customHeight="false" outlineLevel="0" collapsed="false">
      <c r="A122" s="9" t="s">
        <v>190</v>
      </c>
      <c r="B122" s="9" t="s">
        <v>29</v>
      </c>
      <c r="C122" s="9" t="s">
        <v>166</v>
      </c>
      <c r="D122" s="10" t="n">
        <v>2.99</v>
      </c>
      <c r="E122" s="9" t="s">
        <v>48</v>
      </c>
      <c r="F122" s="11" t="n">
        <v>2.99</v>
      </c>
    </row>
    <row r="123" customFormat="false" ht="15" hidden="false" customHeight="false" outlineLevel="0" collapsed="false">
      <c r="A123" s="9" t="s">
        <v>191</v>
      </c>
      <c r="B123" s="9" t="s">
        <v>29</v>
      </c>
      <c r="C123" s="9" t="s">
        <v>166</v>
      </c>
      <c r="D123" s="10" t="n">
        <v>1.54</v>
      </c>
      <c r="E123" s="9" t="s">
        <v>192</v>
      </c>
      <c r="F123" s="11" t="n">
        <v>200</v>
      </c>
    </row>
    <row r="124" customFormat="false" ht="15" hidden="false" customHeight="false" outlineLevel="0" collapsed="false">
      <c r="A124" s="9" t="s">
        <v>193</v>
      </c>
      <c r="B124" s="9" t="s">
        <v>29</v>
      </c>
      <c r="C124" s="9" t="s">
        <v>166</v>
      </c>
      <c r="D124" s="10" t="n">
        <v>2.99</v>
      </c>
      <c r="E124" s="9" t="s">
        <v>48</v>
      </c>
      <c r="F124" s="11" t="n">
        <v>2.99</v>
      </c>
    </row>
    <row r="125" customFormat="false" ht="15" hidden="false" customHeight="false" outlineLevel="0" collapsed="false">
      <c r="A125" s="9" t="s">
        <v>194</v>
      </c>
      <c r="B125" s="9" t="s">
        <v>29</v>
      </c>
      <c r="C125" s="9" t="s">
        <v>166</v>
      </c>
      <c r="D125" s="10" t="n">
        <v>2.99</v>
      </c>
      <c r="E125" s="9" t="s">
        <v>48</v>
      </c>
      <c r="F125" s="11" t="n">
        <v>2.99</v>
      </c>
    </row>
    <row r="126" customFormat="false" ht="15" hidden="false" customHeight="false" outlineLevel="0" collapsed="false">
      <c r="A126" s="9" t="s">
        <v>195</v>
      </c>
      <c r="B126" s="9" t="s">
        <v>29</v>
      </c>
      <c r="C126" s="9" t="s">
        <v>50</v>
      </c>
      <c r="D126" s="10" t="n">
        <v>3.99</v>
      </c>
      <c r="E126" s="9" t="s">
        <v>48</v>
      </c>
      <c r="F126" s="11" t="n">
        <v>3.99</v>
      </c>
    </row>
    <row r="127" customFormat="false" ht="15" hidden="false" customHeight="false" outlineLevel="0" collapsed="false">
      <c r="A127" s="9" t="s">
        <v>196</v>
      </c>
      <c r="B127" s="9" t="s">
        <v>29</v>
      </c>
      <c r="C127" s="9" t="s">
        <v>166</v>
      </c>
      <c r="D127" s="10" t="n">
        <v>2.99</v>
      </c>
      <c r="E127" s="9" t="s">
        <v>48</v>
      </c>
      <c r="F127" s="11" t="n">
        <v>2.99</v>
      </c>
    </row>
    <row r="128" customFormat="false" ht="15" hidden="false" customHeight="false" outlineLevel="0" collapsed="false">
      <c r="A128" s="9" t="s">
        <v>197</v>
      </c>
      <c r="B128" s="9" t="s">
        <v>29</v>
      </c>
      <c r="C128" s="9" t="s">
        <v>166</v>
      </c>
      <c r="D128" s="10" t="n">
        <v>2.99</v>
      </c>
      <c r="E128" s="9" t="s">
        <v>48</v>
      </c>
      <c r="F128" s="11" t="n">
        <v>2.99</v>
      </c>
    </row>
    <row r="129" customFormat="false" ht="15" hidden="false" customHeight="false" outlineLevel="0" collapsed="false">
      <c r="A129" s="9" t="s">
        <v>198</v>
      </c>
      <c r="B129" s="9" t="s">
        <v>29</v>
      </c>
      <c r="C129" s="9" t="s">
        <v>166</v>
      </c>
      <c r="D129" s="10" t="n">
        <v>2.99</v>
      </c>
      <c r="E129" s="9" t="s">
        <v>48</v>
      </c>
      <c r="F129" s="11" t="n">
        <v>2.99</v>
      </c>
    </row>
    <row r="130" customFormat="false" ht="15" hidden="false" customHeight="false" outlineLevel="0" collapsed="false">
      <c r="A130" s="9" t="s">
        <v>199</v>
      </c>
      <c r="B130" s="9" t="s">
        <v>29</v>
      </c>
      <c r="C130" s="9" t="s">
        <v>166</v>
      </c>
      <c r="D130" s="10" t="n">
        <v>2.99</v>
      </c>
      <c r="E130" s="9" t="s">
        <v>48</v>
      </c>
      <c r="F130" s="11" t="n">
        <v>2.99</v>
      </c>
    </row>
    <row r="131" customFormat="false" ht="15" hidden="false" customHeight="false" outlineLevel="0" collapsed="false">
      <c r="A131" s="9" t="s">
        <v>200</v>
      </c>
      <c r="B131" s="9" t="s">
        <v>29</v>
      </c>
      <c r="C131" s="9" t="s">
        <v>166</v>
      </c>
      <c r="D131" s="10" t="n">
        <v>2.99</v>
      </c>
      <c r="E131" s="9" t="s">
        <v>48</v>
      </c>
      <c r="F131" s="11" t="n">
        <v>2.99</v>
      </c>
    </row>
    <row r="132" customFormat="false" ht="15" hidden="false" customHeight="false" outlineLevel="0" collapsed="false">
      <c r="A132" s="9" t="s">
        <v>201</v>
      </c>
      <c r="B132" s="9" t="s">
        <v>29</v>
      </c>
      <c r="C132" s="9" t="s">
        <v>50</v>
      </c>
      <c r="D132" s="10" t="n">
        <v>4.52</v>
      </c>
      <c r="E132" s="9" t="s">
        <v>202</v>
      </c>
      <c r="F132" s="11" t="n">
        <v>45</v>
      </c>
    </row>
    <row r="133" customFormat="false" ht="15" hidden="false" customHeight="false" outlineLevel="0" collapsed="false">
      <c r="A133" s="9" t="s">
        <v>203</v>
      </c>
      <c r="B133" s="9" t="s">
        <v>29</v>
      </c>
      <c r="C133" s="9" t="s">
        <v>166</v>
      </c>
      <c r="D133" s="10" t="n">
        <v>2.99</v>
      </c>
      <c r="E133" s="9" t="s">
        <v>48</v>
      </c>
      <c r="F133" s="11" t="n">
        <v>2.99</v>
      </c>
    </row>
    <row r="134" customFormat="false" ht="15" hidden="false" customHeight="false" outlineLevel="0" collapsed="false">
      <c r="A134" s="9" t="s">
        <v>204</v>
      </c>
      <c r="B134" s="9" t="s">
        <v>29</v>
      </c>
      <c r="C134" s="9" t="s">
        <v>166</v>
      </c>
      <c r="D134" s="10" t="n">
        <v>2.99</v>
      </c>
      <c r="E134" s="9" t="s">
        <v>48</v>
      </c>
      <c r="F134" s="11" t="n">
        <v>2.99</v>
      </c>
    </row>
    <row r="135" customFormat="false" ht="15" hidden="false" customHeight="false" outlineLevel="0" collapsed="false">
      <c r="A135" s="9" t="s">
        <v>205</v>
      </c>
      <c r="B135" s="9" t="s">
        <v>29</v>
      </c>
      <c r="C135" s="9" t="s">
        <v>166</v>
      </c>
      <c r="D135" s="10" t="n">
        <v>2.99</v>
      </c>
      <c r="E135" s="9" t="s">
        <v>48</v>
      </c>
      <c r="F135" s="11" t="n">
        <v>2.99</v>
      </c>
    </row>
    <row r="136" customFormat="false" ht="15" hidden="false" customHeight="false" outlineLevel="0" collapsed="false">
      <c r="A136" s="9" t="s">
        <v>206</v>
      </c>
      <c r="B136" s="9" t="s">
        <v>29</v>
      </c>
      <c r="C136" s="9" t="s">
        <v>166</v>
      </c>
      <c r="D136" s="10" t="n">
        <v>1.88</v>
      </c>
      <c r="E136" s="9" t="s">
        <v>207</v>
      </c>
      <c r="F136" s="11" t="n">
        <v>2500</v>
      </c>
    </row>
    <row r="137" customFormat="false" ht="15" hidden="false" customHeight="false" outlineLevel="0" collapsed="false">
      <c r="A137" s="9" t="s">
        <v>208</v>
      </c>
      <c r="B137" s="9" t="s">
        <v>29</v>
      </c>
      <c r="C137" s="9" t="s">
        <v>166</v>
      </c>
      <c r="D137" s="10" t="n">
        <v>2.99</v>
      </c>
      <c r="E137" s="9" t="s">
        <v>48</v>
      </c>
      <c r="F137" s="11" t="n">
        <v>2.99</v>
      </c>
    </row>
    <row r="138" customFormat="false" ht="15" hidden="false" customHeight="false" outlineLevel="0" collapsed="false">
      <c r="A138" s="9" t="s">
        <v>209</v>
      </c>
      <c r="B138" s="9" t="s">
        <v>29</v>
      </c>
      <c r="C138" s="9" t="s">
        <v>166</v>
      </c>
      <c r="D138" s="10" t="n">
        <v>2.99</v>
      </c>
      <c r="E138" s="9" t="s">
        <v>48</v>
      </c>
      <c r="F138" s="11" t="n">
        <v>2.99</v>
      </c>
    </row>
    <row r="139" customFormat="false" ht="15" hidden="false" customHeight="false" outlineLevel="0" collapsed="false">
      <c r="A139" s="9" t="s">
        <v>210</v>
      </c>
      <c r="B139" s="9" t="s">
        <v>29</v>
      </c>
      <c r="C139" s="9" t="s">
        <v>166</v>
      </c>
      <c r="D139" s="10" t="n">
        <v>2.99</v>
      </c>
      <c r="E139" s="9" t="s">
        <v>48</v>
      </c>
      <c r="F139" s="11" t="n">
        <v>2.99</v>
      </c>
    </row>
    <row r="140" customFormat="false" ht="15" hidden="false" customHeight="false" outlineLevel="0" collapsed="false">
      <c r="A140" s="9" t="s">
        <v>211</v>
      </c>
      <c r="B140" s="9" t="s">
        <v>29</v>
      </c>
      <c r="C140" s="9" t="s">
        <v>166</v>
      </c>
      <c r="D140" s="10" t="n">
        <v>2.99</v>
      </c>
      <c r="E140" s="9" t="s">
        <v>48</v>
      </c>
      <c r="F140" s="11" t="n">
        <v>2.99</v>
      </c>
    </row>
    <row r="141" customFormat="false" ht="15" hidden="false" customHeight="false" outlineLevel="0" collapsed="false">
      <c r="A141" s="9" t="s">
        <v>212</v>
      </c>
      <c r="B141" s="9" t="s">
        <v>29</v>
      </c>
      <c r="C141" s="9" t="s">
        <v>166</v>
      </c>
      <c r="D141" s="10" t="n">
        <v>2.99</v>
      </c>
      <c r="E141" s="9" t="s">
        <v>48</v>
      </c>
      <c r="F141" s="11" t="n">
        <v>2.99</v>
      </c>
    </row>
    <row r="142" customFormat="false" ht="15" hidden="false" customHeight="false" outlineLevel="0" collapsed="false">
      <c r="A142" s="9" t="s">
        <v>213</v>
      </c>
      <c r="B142" s="9" t="s">
        <v>29</v>
      </c>
      <c r="C142" s="9" t="s">
        <v>166</v>
      </c>
      <c r="D142" s="10" t="n">
        <v>2.99</v>
      </c>
      <c r="E142" s="9" t="s">
        <v>48</v>
      </c>
      <c r="F142" s="11" t="n">
        <v>2.99</v>
      </c>
    </row>
    <row r="143" customFormat="false" ht="15" hidden="false" customHeight="false" outlineLevel="0" collapsed="false">
      <c r="A143" s="9" t="s">
        <v>214</v>
      </c>
      <c r="B143" s="9" t="s">
        <v>29</v>
      </c>
      <c r="C143" s="9" t="s">
        <v>166</v>
      </c>
      <c r="D143" s="10" t="n">
        <v>3.57</v>
      </c>
      <c r="E143" s="9" t="s">
        <v>215</v>
      </c>
      <c r="F143" s="11" t="n">
        <v>59</v>
      </c>
    </row>
    <row r="144" customFormat="false" ht="15" hidden="false" customHeight="false" outlineLevel="0" collapsed="false">
      <c r="A144" s="9" t="s">
        <v>216</v>
      </c>
      <c r="B144" s="9" t="s">
        <v>29</v>
      </c>
      <c r="C144" s="9" t="s">
        <v>166</v>
      </c>
      <c r="D144" s="10" t="n">
        <v>2.99</v>
      </c>
      <c r="E144" s="9" t="s">
        <v>48</v>
      </c>
      <c r="F144" s="11" t="n">
        <v>2.99</v>
      </c>
    </row>
    <row r="145" customFormat="false" ht="15" hidden="false" customHeight="false" outlineLevel="0" collapsed="false">
      <c r="A145" s="9" t="s">
        <v>217</v>
      </c>
      <c r="B145" s="9" t="s">
        <v>29</v>
      </c>
      <c r="C145" s="9" t="s">
        <v>50</v>
      </c>
      <c r="D145" s="10" t="n">
        <v>3.99</v>
      </c>
      <c r="E145" s="9" t="s">
        <v>48</v>
      </c>
      <c r="F145" s="11" t="n">
        <v>3.99</v>
      </c>
    </row>
    <row r="146" customFormat="false" ht="15" hidden="false" customHeight="false" outlineLevel="0" collapsed="false">
      <c r="A146" s="9" t="s">
        <v>218</v>
      </c>
      <c r="B146" s="9" t="s">
        <v>29</v>
      </c>
      <c r="C146" s="9" t="s">
        <v>166</v>
      </c>
      <c r="D146" s="10" t="n">
        <v>2.99</v>
      </c>
      <c r="E146" s="9" t="s">
        <v>48</v>
      </c>
      <c r="F146" s="11" t="n">
        <v>2.99</v>
      </c>
    </row>
    <row r="147" customFormat="false" ht="15" hidden="false" customHeight="false" outlineLevel="0" collapsed="false">
      <c r="A147" s="9" t="s">
        <v>219</v>
      </c>
      <c r="B147" s="9" t="s">
        <v>29</v>
      </c>
      <c r="C147" s="9" t="s">
        <v>166</v>
      </c>
      <c r="D147" s="10" t="n">
        <v>2.99</v>
      </c>
      <c r="E147" s="9" t="s">
        <v>48</v>
      </c>
      <c r="F147" s="11" t="n">
        <v>2.99</v>
      </c>
    </row>
    <row r="148" customFormat="false" ht="15" hidden="false" customHeight="false" outlineLevel="0" collapsed="false">
      <c r="A148" s="9" t="s">
        <v>220</v>
      </c>
      <c r="B148" s="9" t="s">
        <v>29</v>
      </c>
      <c r="C148" s="9" t="s">
        <v>50</v>
      </c>
      <c r="D148" s="10" t="n">
        <v>3.99</v>
      </c>
      <c r="E148" s="9" t="s">
        <v>48</v>
      </c>
      <c r="F148" s="11" t="n">
        <v>3.99</v>
      </c>
    </row>
    <row r="149" customFormat="false" ht="15" hidden="false" customHeight="false" outlineLevel="0" collapsed="false">
      <c r="A149" s="9" t="s">
        <v>221</v>
      </c>
      <c r="B149" s="9" t="s">
        <v>29</v>
      </c>
      <c r="C149" s="9" t="s">
        <v>166</v>
      </c>
      <c r="D149" s="10" t="n">
        <v>2.99</v>
      </c>
      <c r="E149" s="9" t="s">
        <v>48</v>
      </c>
      <c r="F149" s="11" t="n">
        <v>2.99</v>
      </c>
    </row>
    <row r="150" customFormat="false" ht="15" hidden="false" customHeight="false" outlineLevel="0" collapsed="false">
      <c r="A150" s="9" t="s">
        <v>222</v>
      </c>
      <c r="B150" s="9" t="s">
        <v>29</v>
      </c>
      <c r="C150" s="9" t="s">
        <v>166</v>
      </c>
      <c r="D150" s="10" t="n">
        <v>2.99</v>
      </c>
      <c r="E150" s="9" t="s">
        <v>48</v>
      </c>
      <c r="F150" s="11" t="n">
        <v>2.99</v>
      </c>
    </row>
    <row r="151" customFormat="false" ht="15" hidden="false" customHeight="false" outlineLevel="0" collapsed="false">
      <c r="A151" s="9" t="s">
        <v>223</v>
      </c>
      <c r="B151" s="9" t="s">
        <v>29</v>
      </c>
      <c r="C151" s="9" t="s">
        <v>166</v>
      </c>
      <c r="D151" s="10" t="n">
        <v>2.99</v>
      </c>
      <c r="E151" s="9" t="s">
        <v>48</v>
      </c>
      <c r="F151" s="11" t="n">
        <v>2.99</v>
      </c>
    </row>
    <row r="152" customFormat="false" ht="15" hidden="false" customHeight="false" outlineLevel="0" collapsed="false">
      <c r="A152" s="9" t="s">
        <v>224</v>
      </c>
      <c r="B152" s="9" t="s">
        <v>33</v>
      </c>
      <c r="C152" s="9" t="s">
        <v>50</v>
      </c>
      <c r="D152" s="10" t="n">
        <v>3.99</v>
      </c>
      <c r="E152" s="9" t="s">
        <v>48</v>
      </c>
      <c r="F152" s="11" t="n">
        <v>3.99</v>
      </c>
    </row>
    <row r="153" customFormat="false" ht="15" hidden="false" customHeight="false" outlineLevel="0" collapsed="false">
      <c r="A153" s="9" t="s">
        <v>225</v>
      </c>
      <c r="B153" s="9" t="s">
        <v>33</v>
      </c>
      <c r="C153" s="9" t="s">
        <v>45</v>
      </c>
      <c r="D153" s="10" t="n">
        <v>6.97</v>
      </c>
      <c r="E153" s="9" t="s">
        <v>226</v>
      </c>
      <c r="F153" s="11" t="n">
        <v>9.99</v>
      </c>
    </row>
    <row r="154" customFormat="false" ht="15" hidden="false" customHeight="false" outlineLevel="0" collapsed="false">
      <c r="A154" s="9" t="s">
        <v>227</v>
      </c>
      <c r="B154" s="9" t="s">
        <v>33</v>
      </c>
      <c r="C154" s="9" t="s">
        <v>166</v>
      </c>
      <c r="D154" s="10" t="n">
        <v>2.99</v>
      </c>
      <c r="E154" s="9" t="s">
        <v>48</v>
      </c>
      <c r="F154" s="11" t="n">
        <v>2.99</v>
      </c>
    </row>
    <row r="155" customFormat="false" ht="15" hidden="false" customHeight="false" outlineLevel="0" collapsed="false">
      <c r="A155" s="9" t="s">
        <v>228</v>
      </c>
      <c r="B155" s="9" t="s">
        <v>33</v>
      </c>
      <c r="C155" s="9" t="s">
        <v>166</v>
      </c>
      <c r="D155" s="10" t="n">
        <v>2.99</v>
      </c>
      <c r="E155" s="9" t="s">
        <v>48</v>
      </c>
      <c r="F155" s="11" t="n">
        <v>2.99</v>
      </c>
    </row>
    <row r="156" customFormat="false" ht="15" hidden="false" customHeight="false" outlineLevel="0" collapsed="false">
      <c r="A156" s="9" t="s">
        <v>229</v>
      </c>
      <c r="B156" s="9" t="s">
        <v>33</v>
      </c>
      <c r="C156" s="9" t="s">
        <v>166</v>
      </c>
      <c r="D156" s="10" t="n">
        <v>6.49</v>
      </c>
      <c r="E156" s="9" t="s">
        <v>48</v>
      </c>
      <c r="F156" s="11" t="n">
        <v>6.49</v>
      </c>
    </row>
    <row r="157" customFormat="false" ht="15" hidden="false" customHeight="false" outlineLevel="0" collapsed="false">
      <c r="A157" s="9" t="s">
        <v>230</v>
      </c>
      <c r="B157" s="9" t="s">
        <v>33</v>
      </c>
      <c r="C157" s="9" t="s">
        <v>166</v>
      </c>
      <c r="D157" s="10" t="n">
        <v>2.99</v>
      </c>
      <c r="E157" s="9" t="s">
        <v>48</v>
      </c>
      <c r="F157" s="11" t="n">
        <v>2.99</v>
      </c>
    </row>
    <row r="158" customFormat="false" ht="15" hidden="false" customHeight="false" outlineLevel="0" collapsed="false">
      <c r="A158" s="9" t="s">
        <v>231</v>
      </c>
      <c r="B158" s="9" t="s">
        <v>33</v>
      </c>
      <c r="C158" s="9" t="s">
        <v>166</v>
      </c>
      <c r="D158" s="10" t="n">
        <v>2.99</v>
      </c>
      <c r="E158" s="9" t="s">
        <v>48</v>
      </c>
      <c r="F158" s="11" t="n">
        <v>2.99</v>
      </c>
    </row>
    <row r="159" customFormat="false" ht="15" hidden="false" customHeight="false" outlineLevel="0" collapsed="false">
      <c r="A159" s="9" t="s">
        <v>232</v>
      </c>
      <c r="B159" s="9" t="s">
        <v>33</v>
      </c>
      <c r="C159" s="9" t="s">
        <v>166</v>
      </c>
      <c r="D159" s="10" t="n">
        <v>1.54</v>
      </c>
      <c r="E159" s="9" t="s">
        <v>233</v>
      </c>
      <c r="F159" s="11" t="n">
        <v>149</v>
      </c>
    </row>
    <row r="160" customFormat="false" ht="15" hidden="false" customHeight="false" outlineLevel="0" collapsed="false">
      <c r="A160" s="9" t="s">
        <v>234</v>
      </c>
      <c r="B160" s="9" t="s">
        <v>33</v>
      </c>
      <c r="C160" s="9" t="s">
        <v>166</v>
      </c>
      <c r="D160" s="10" t="n">
        <v>3.02</v>
      </c>
      <c r="E160" s="9" t="s">
        <v>235</v>
      </c>
      <c r="F160" s="11" t="n">
        <v>54000</v>
      </c>
    </row>
    <row r="161" customFormat="false" ht="15" hidden="false" customHeight="false" outlineLevel="0" collapsed="false">
      <c r="A161" s="9" t="s">
        <v>236</v>
      </c>
      <c r="B161" s="9" t="s">
        <v>33</v>
      </c>
      <c r="C161" s="9" t="s">
        <v>45</v>
      </c>
      <c r="D161" s="10" t="n">
        <v>5.62</v>
      </c>
      <c r="E161" s="9" t="s">
        <v>237</v>
      </c>
      <c r="F161" s="11" t="n">
        <v>890</v>
      </c>
    </row>
    <row r="162" customFormat="false" ht="15" hidden="false" customHeight="false" outlineLevel="0" collapsed="false">
      <c r="A162" s="9" t="s">
        <v>238</v>
      </c>
      <c r="B162" s="9" t="s">
        <v>33</v>
      </c>
      <c r="C162" s="9" t="s">
        <v>50</v>
      </c>
      <c r="D162" s="10" t="n">
        <v>8.95</v>
      </c>
      <c r="E162" s="9" t="s">
        <v>90</v>
      </c>
      <c r="F162" s="11" t="n">
        <v>7.99</v>
      </c>
    </row>
    <row r="163" customFormat="false" ht="15" hidden="false" customHeight="false" outlineLevel="0" collapsed="false">
      <c r="A163" s="9" t="s">
        <v>239</v>
      </c>
      <c r="B163" s="9" t="s">
        <v>33</v>
      </c>
      <c r="C163" s="9" t="s">
        <v>166</v>
      </c>
      <c r="D163" s="10" t="n">
        <v>2.99</v>
      </c>
      <c r="E163" s="9" t="s">
        <v>48</v>
      </c>
      <c r="F163" s="11" t="n">
        <v>2.99</v>
      </c>
    </row>
    <row r="164" customFormat="false" ht="15" hidden="false" customHeight="false" outlineLevel="0" collapsed="false">
      <c r="A164" s="9" t="s">
        <v>240</v>
      </c>
      <c r="B164" s="9" t="s">
        <v>33</v>
      </c>
      <c r="C164" s="9" t="s">
        <v>50</v>
      </c>
      <c r="D164" s="10" t="n">
        <v>8.95</v>
      </c>
      <c r="E164" s="9" t="s">
        <v>90</v>
      </c>
      <c r="F164" s="11" t="n">
        <v>7.99</v>
      </c>
    </row>
    <row r="165" customFormat="false" ht="15" hidden="false" customHeight="false" outlineLevel="0" collapsed="false">
      <c r="A165" s="9" t="s">
        <v>241</v>
      </c>
      <c r="B165" s="9" t="s">
        <v>33</v>
      </c>
      <c r="C165" s="9" t="s">
        <v>166</v>
      </c>
      <c r="D165" s="10" t="n">
        <v>2.99</v>
      </c>
      <c r="E165" s="9" t="s">
        <v>48</v>
      </c>
      <c r="F165" s="11" t="n">
        <v>2.99</v>
      </c>
    </row>
    <row r="166" customFormat="false" ht="15" hidden="false" customHeight="false" outlineLevel="0" collapsed="false">
      <c r="A166" s="9" t="s">
        <v>242</v>
      </c>
      <c r="B166" s="9" t="s">
        <v>33</v>
      </c>
      <c r="C166" s="9" t="s">
        <v>166</v>
      </c>
      <c r="D166" s="10" t="n">
        <v>4.87</v>
      </c>
      <c r="E166" s="9" t="s">
        <v>243</v>
      </c>
      <c r="F166" s="11" t="n">
        <v>19.9</v>
      </c>
    </row>
    <row r="167" customFormat="false" ht="15" hidden="false" customHeight="false" outlineLevel="0" collapsed="false">
      <c r="A167" s="9" t="s">
        <v>244</v>
      </c>
      <c r="B167" s="9" t="s">
        <v>33</v>
      </c>
      <c r="C167" s="9" t="s">
        <v>166</v>
      </c>
      <c r="D167" s="10" t="n">
        <v>6.49</v>
      </c>
      <c r="E167" s="9" t="s">
        <v>48</v>
      </c>
      <c r="F167" s="11" t="n">
        <v>6.49</v>
      </c>
    </row>
    <row r="168" customFormat="false" ht="15" hidden="false" customHeight="false" outlineLevel="0" collapsed="false">
      <c r="A168" s="9" t="s">
        <v>245</v>
      </c>
      <c r="B168" s="9" t="s">
        <v>33</v>
      </c>
      <c r="C168" s="9" t="s">
        <v>45</v>
      </c>
      <c r="D168" s="10" t="n">
        <v>8.99</v>
      </c>
      <c r="E168" s="9" t="s">
        <v>48</v>
      </c>
      <c r="F168" s="11" t="n">
        <v>8.99</v>
      </c>
    </row>
    <row r="169" customFormat="false" ht="15" hidden="false" customHeight="false" outlineLevel="0" collapsed="false">
      <c r="A169" s="9" t="s">
        <v>246</v>
      </c>
      <c r="B169" s="9" t="s">
        <v>33</v>
      </c>
      <c r="C169" s="9" t="s">
        <v>45</v>
      </c>
      <c r="D169" s="10" t="n">
        <v>8.99</v>
      </c>
      <c r="E169" s="9" t="s">
        <v>48</v>
      </c>
      <c r="F169" s="11" t="n">
        <v>8.99</v>
      </c>
    </row>
    <row r="170" customFormat="false" ht="15" hidden="false" customHeight="false" outlineLevel="0" collapsed="false">
      <c r="A170" s="9" t="s">
        <v>247</v>
      </c>
      <c r="B170" s="9" t="s">
        <v>33</v>
      </c>
      <c r="C170" s="9" t="s">
        <v>166</v>
      </c>
      <c r="D170" s="10" t="n">
        <v>2.99</v>
      </c>
      <c r="E170" s="9" t="s">
        <v>48</v>
      </c>
      <c r="F170" s="11" t="n">
        <v>2.99</v>
      </c>
    </row>
    <row r="171" customFormat="false" ht="15" hidden="false" customHeight="false" outlineLevel="0" collapsed="false">
      <c r="A171" s="9" t="s">
        <v>248</v>
      </c>
      <c r="B171" s="9" t="s">
        <v>33</v>
      </c>
      <c r="C171" s="9" t="s">
        <v>166</v>
      </c>
      <c r="D171" s="10" t="n">
        <v>2.99</v>
      </c>
      <c r="E171" s="9" t="s">
        <v>48</v>
      </c>
      <c r="F171" s="11" t="n">
        <v>2.99</v>
      </c>
    </row>
    <row r="172" customFormat="false" ht="15" hidden="false" customHeight="false" outlineLevel="0" collapsed="false">
      <c r="A172" s="9" t="s">
        <v>249</v>
      </c>
      <c r="B172" s="9" t="s">
        <v>33</v>
      </c>
      <c r="C172" s="9" t="s">
        <v>166</v>
      </c>
      <c r="D172" s="10" t="n">
        <v>6.49</v>
      </c>
      <c r="E172" s="9" t="s">
        <v>48</v>
      </c>
      <c r="F172" s="11" t="n">
        <v>6.49</v>
      </c>
    </row>
    <row r="173" customFormat="false" ht="15" hidden="false" customHeight="false" outlineLevel="0" collapsed="false">
      <c r="A173" s="9" t="s">
        <v>250</v>
      </c>
      <c r="B173" s="9" t="s">
        <v>33</v>
      </c>
      <c r="C173" s="9" t="s">
        <v>166</v>
      </c>
      <c r="D173" s="10" t="n">
        <v>2.99</v>
      </c>
      <c r="E173" s="9" t="s">
        <v>48</v>
      </c>
      <c r="F173" s="11" t="n">
        <v>2.99</v>
      </c>
    </row>
    <row r="174" customFormat="false" ht="15" hidden="false" customHeight="false" outlineLevel="0" collapsed="false">
      <c r="A174" s="9" t="s">
        <v>251</v>
      </c>
      <c r="B174" s="9" t="s">
        <v>33</v>
      </c>
      <c r="C174" s="9" t="s">
        <v>50</v>
      </c>
      <c r="D174" s="10" t="n">
        <v>10.1</v>
      </c>
      <c r="E174" s="9" t="s">
        <v>252</v>
      </c>
      <c r="F174" s="11" t="n">
        <v>17.99</v>
      </c>
    </row>
    <row r="175" customFormat="false" ht="15" hidden="false" customHeight="false" outlineLevel="0" collapsed="false">
      <c r="A175" s="9" t="s">
        <v>253</v>
      </c>
      <c r="B175" s="9" t="s">
        <v>33</v>
      </c>
      <c r="C175" s="9" t="s">
        <v>166</v>
      </c>
      <c r="D175" s="10" t="n">
        <v>0.9</v>
      </c>
      <c r="E175" s="9" t="s">
        <v>254</v>
      </c>
      <c r="F175" s="11" t="n">
        <v>250</v>
      </c>
    </row>
    <row r="176" customFormat="false" ht="15" hidden="false" customHeight="false" outlineLevel="0" collapsed="false">
      <c r="A176" s="9" t="s">
        <v>255</v>
      </c>
      <c r="B176" s="9" t="s">
        <v>33</v>
      </c>
      <c r="C176" s="9" t="s">
        <v>45</v>
      </c>
      <c r="D176" s="10" t="n">
        <v>8.99</v>
      </c>
      <c r="E176" s="9" t="s">
        <v>48</v>
      </c>
      <c r="F176" s="11" t="n">
        <v>8.99</v>
      </c>
    </row>
    <row r="177" customFormat="false" ht="15" hidden="false" customHeight="false" outlineLevel="0" collapsed="false">
      <c r="A177" s="9" t="s">
        <v>256</v>
      </c>
      <c r="B177" s="9" t="s">
        <v>33</v>
      </c>
      <c r="C177" s="9" t="s">
        <v>166</v>
      </c>
      <c r="D177" s="10" t="n">
        <v>2.99</v>
      </c>
      <c r="E177" s="9" t="s">
        <v>48</v>
      </c>
      <c r="F177" s="11" t="n">
        <v>2.99</v>
      </c>
    </row>
    <row r="178" customFormat="false" ht="15" hidden="false" customHeight="false" outlineLevel="0" collapsed="false">
      <c r="A178" s="9" t="s">
        <v>257</v>
      </c>
      <c r="B178" s="9" t="s">
        <v>33</v>
      </c>
      <c r="C178" s="9" t="s">
        <v>166</v>
      </c>
      <c r="D178" s="10" t="n">
        <v>2.69</v>
      </c>
      <c r="E178" s="9" t="s">
        <v>258</v>
      </c>
      <c r="F178" s="11" t="n">
        <v>169</v>
      </c>
    </row>
    <row r="179" customFormat="false" ht="15" hidden="false" customHeight="false" outlineLevel="0" collapsed="false">
      <c r="A179" s="9" t="s">
        <v>259</v>
      </c>
      <c r="B179" s="9" t="s">
        <v>33</v>
      </c>
      <c r="C179" s="9" t="s">
        <v>166</v>
      </c>
      <c r="D179" s="10" t="n">
        <v>2.99</v>
      </c>
      <c r="E179" s="9" t="s">
        <v>48</v>
      </c>
      <c r="F179" s="11" t="n">
        <v>2.99</v>
      </c>
    </row>
    <row r="180" customFormat="false" ht="15" hidden="false" customHeight="false" outlineLevel="0" collapsed="false">
      <c r="A180" s="9" t="s">
        <v>260</v>
      </c>
      <c r="B180" s="9" t="s">
        <v>33</v>
      </c>
      <c r="C180" s="9" t="s">
        <v>50</v>
      </c>
      <c r="D180" s="10" t="n">
        <v>12.48</v>
      </c>
      <c r="E180" s="9" t="s">
        <v>261</v>
      </c>
      <c r="F180" s="11" t="n">
        <v>15.98</v>
      </c>
    </row>
    <row r="181" customFormat="false" ht="15" hidden="false" customHeight="false" outlineLevel="0" collapsed="false">
      <c r="A181" s="9" t="s">
        <v>262</v>
      </c>
      <c r="B181" s="9" t="s">
        <v>33</v>
      </c>
      <c r="C181" s="9" t="s">
        <v>166</v>
      </c>
      <c r="D181" s="10" t="n">
        <v>2.99</v>
      </c>
      <c r="E181" s="9" t="s">
        <v>48</v>
      </c>
      <c r="F181" s="11" t="n">
        <v>2.99</v>
      </c>
    </row>
    <row r="182" customFormat="false" ht="15" hidden="false" customHeight="false" outlineLevel="0" collapsed="false">
      <c r="A182" s="9" t="s">
        <v>263</v>
      </c>
      <c r="B182" s="9" t="s">
        <v>33</v>
      </c>
      <c r="C182" s="9" t="s">
        <v>45</v>
      </c>
      <c r="D182" s="10" t="n">
        <v>5.22</v>
      </c>
      <c r="E182" s="9" t="s">
        <v>264</v>
      </c>
      <c r="F182" s="11" t="n">
        <v>7000</v>
      </c>
    </row>
    <row r="183" customFormat="false" ht="15" hidden="false" customHeight="false" outlineLevel="0" collapsed="false">
      <c r="A183" s="9" t="s">
        <v>265</v>
      </c>
      <c r="B183" s="9" t="s">
        <v>33</v>
      </c>
      <c r="C183" s="9" t="s">
        <v>166</v>
      </c>
      <c r="D183" s="10" t="n">
        <v>2.99</v>
      </c>
      <c r="E183" s="9" t="s">
        <v>48</v>
      </c>
      <c r="F183" s="11" t="n">
        <v>2.99</v>
      </c>
    </row>
    <row r="184" customFormat="false" ht="15" hidden="false" customHeight="false" outlineLevel="0" collapsed="false">
      <c r="A184" s="9" t="s">
        <v>266</v>
      </c>
      <c r="B184" s="9" t="s">
        <v>33</v>
      </c>
      <c r="C184" s="9" t="s">
        <v>50</v>
      </c>
      <c r="D184" s="10" t="n">
        <v>9.07</v>
      </c>
      <c r="E184" s="9" t="s">
        <v>267</v>
      </c>
      <c r="F184" s="11" t="n">
        <v>290</v>
      </c>
    </row>
    <row r="185" customFormat="false" ht="15" hidden="false" customHeight="false" outlineLevel="0" collapsed="false">
      <c r="A185" s="9" t="s">
        <v>268</v>
      </c>
      <c r="B185" s="9" t="s">
        <v>33</v>
      </c>
      <c r="C185" s="9" t="s">
        <v>50</v>
      </c>
      <c r="D185" s="10" t="n">
        <v>10.52</v>
      </c>
      <c r="E185" s="9" t="s">
        <v>90</v>
      </c>
      <c r="F185" s="11" t="n">
        <v>9.39</v>
      </c>
    </row>
    <row r="186" customFormat="false" ht="15" hidden="false" customHeight="false" outlineLevel="0" collapsed="false">
      <c r="A186" s="9" t="s">
        <v>269</v>
      </c>
      <c r="B186" s="9" t="s">
        <v>33</v>
      </c>
      <c r="C186" s="9" t="s">
        <v>166</v>
      </c>
      <c r="D186" s="10" t="n">
        <v>2.95</v>
      </c>
      <c r="E186" s="9" t="s">
        <v>270</v>
      </c>
      <c r="F186" s="11" t="n">
        <v>99</v>
      </c>
    </row>
    <row r="187" customFormat="false" ht="15" hidden="false" customHeight="false" outlineLevel="0" collapsed="false">
      <c r="A187" s="9" t="s">
        <v>271</v>
      </c>
      <c r="B187" s="9" t="s">
        <v>33</v>
      </c>
      <c r="C187" s="9" t="s">
        <v>166</v>
      </c>
      <c r="D187" s="10" t="n">
        <v>2.99</v>
      </c>
      <c r="E187" s="9" t="s">
        <v>48</v>
      </c>
      <c r="F187" s="11" t="n">
        <v>2.99</v>
      </c>
    </row>
    <row r="188" customFormat="false" ht="15" hidden="false" customHeight="false" outlineLevel="0" collapsed="false">
      <c r="A188" s="9" t="s">
        <v>272</v>
      </c>
      <c r="B188" s="9" t="s">
        <v>33</v>
      </c>
      <c r="C188" s="9" t="s">
        <v>166</v>
      </c>
      <c r="D188" s="10" t="n">
        <v>2.99</v>
      </c>
      <c r="E188" s="9" t="s">
        <v>48</v>
      </c>
      <c r="F188" s="11" t="n">
        <v>2.99</v>
      </c>
    </row>
    <row r="189" customFormat="false" ht="15" hidden="false" customHeight="false" outlineLevel="0" collapsed="false">
      <c r="A189" s="9" t="s">
        <v>273</v>
      </c>
      <c r="B189" s="9" t="s">
        <v>33</v>
      </c>
      <c r="C189" s="9" t="s">
        <v>50</v>
      </c>
      <c r="D189" s="10" t="n">
        <v>8.95</v>
      </c>
      <c r="E189" s="9" t="s">
        <v>90</v>
      </c>
      <c r="F189" s="11" t="n">
        <v>7.99</v>
      </c>
    </row>
    <row r="190" customFormat="false" ht="15" hidden="false" customHeight="false" outlineLevel="0" collapsed="false">
      <c r="A190" s="9" t="s">
        <v>274</v>
      </c>
      <c r="B190" s="9" t="s">
        <v>33</v>
      </c>
      <c r="C190" s="9" t="s">
        <v>166</v>
      </c>
      <c r="D190" s="10" t="n">
        <v>2.99</v>
      </c>
      <c r="E190" s="9" t="s">
        <v>48</v>
      </c>
      <c r="F190" s="11" t="n">
        <v>2.99</v>
      </c>
    </row>
    <row r="191" customFormat="false" ht="15" hidden="false" customHeight="false" outlineLevel="0" collapsed="false">
      <c r="A191" s="9" t="s">
        <v>275</v>
      </c>
      <c r="B191" s="9" t="s">
        <v>33</v>
      </c>
      <c r="C191" s="9" t="s">
        <v>50</v>
      </c>
      <c r="D191" s="10" t="n">
        <v>8.95</v>
      </c>
      <c r="E191" s="9" t="s">
        <v>90</v>
      </c>
      <c r="F191" s="11" t="n">
        <v>7.99</v>
      </c>
    </row>
    <row r="192" customFormat="false" ht="15" hidden="false" customHeight="false" outlineLevel="0" collapsed="false">
      <c r="A192" s="9" t="s">
        <v>276</v>
      </c>
      <c r="B192" s="9" t="s">
        <v>33</v>
      </c>
      <c r="C192" s="9" t="s">
        <v>166</v>
      </c>
      <c r="D192" s="10" t="n">
        <v>2.99</v>
      </c>
      <c r="E192" s="9" t="s">
        <v>48</v>
      </c>
      <c r="F192" s="11" t="n">
        <v>2.99</v>
      </c>
    </row>
    <row r="193" customFormat="false" ht="15" hidden="false" customHeight="false" outlineLevel="0" collapsed="false">
      <c r="A193" s="9" t="s">
        <v>277</v>
      </c>
      <c r="B193" s="9" t="s">
        <v>33</v>
      </c>
      <c r="C193" s="9" t="s">
        <v>166</v>
      </c>
      <c r="D193" s="10" t="n">
        <v>2.86</v>
      </c>
      <c r="E193" s="9" t="s">
        <v>278</v>
      </c>
      <c r="F193" s="11" t="n">
        <v>74000</v>
      </c>
    </row>
    <row r="195" customFormat="false" ht="15" hidden="false" customHeight="false" outlineLevel="0" collapsed="false">
      <c r="A195" s="2" t="s">
        <v>279</v>
      </c>
    </row>
    <row r="196" customFormat="false" ht="15" hidden="false" customHeight="false" outlineLevel="0" collapsed="false">
      <c r="A196" s="2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2" t="s">
        <v>281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4" t="s">
        <v>282</v>
      </c>
    </row>
    <row r="4" customFormat="false" ht="15" hidden="false" customHeight="false" outlineLevel="0" collapsed="false">
      <c r="A4" s="13" t="s">
        <v>283</v>
      </c>
    </row>
    <row r="5" customFormat="false" ht="15" hidden="false" customHeight="false" outlineLevel="0" collapsed="false">
      <c r="A5" s="13" t="s">
        <v>284</v>
      </c>
    </row>
    <row r="6" customFormat="false" ht="15" hidden="false" customHeight="false" outlineLevel="0" collapsed="false">
      <c r="A6" s="13" t="s">
        <v>285</v>
      </c>
    </row>
    <row r="7" customFormat="false" ht="15" hidden="false" customHeight="false" outlineLevel="0" collapsed="false">
      <c r="A7" s="13" t="s">
        <v>286</v>
      </c>
    </row>
    <row r="8" customFormat="false" ht="15" hidden="false" customHeight="false" outlineLevel="0" collapsed="false">
      <c r="A8" s="13" t="s">
        <v>287</v>
      </c>
    </row>
    <row r="9" customFormat="false" ht="15" hidden="false" customHeight="false" outlineLevel="0" collapsed="false">
      <c r="A9" s="13" t="s">
        <v>288</v>
      </c>
    </row>
    <row r="10" customFormat="false" ht="15" hidden="false" customHeight="false" outlineLevel="0" collapsed="false">
      <c r="A10" s="13" t="s">
        <v>289</v>
      </c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4" t="s">
        <v>290</v>
      </c>
    </row>
    <row r="13" customFormat="false" ht="15" hidden="false" customHeight="false" outlineLevel="0" collapsed="false">
      <c r="A13" s="13" t="s">
        <v>291</v>
      </c>
    </row>
    <row r="14" customFormat="false" ht="15" hidden="false" customHeight="false" outlineLevel="0" collapsed="false">
      <c r="A14" s="13" t="s">
        <v>292</v>
      </c>
    </row>
    <row r="15" customFormat="false" ht="15" hidden="false" customHeight="false" outlineLevel="0" collapsed="false">
      <c r="A15" s="13" t="s">
        <v>293</v>
      </c>
    </row>
    <row r="16" customFormat="false" ht="15" hidden="false" customHeight="false" outlineLevel="0" collapsed="false">
      <c r="A16" s="13" t="s">
        <v>294</v>
      </c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4" t="s">
        <v>295</v>
      </c>
    </row>
    <row r="19" customFormat="false" ht="15" hidden="false" customHeight="false" outlineLevel="0" collapsed="false">
      <c r="A19" s="13" t="s">
        <v>296</v>
      </c>
    </row>
    <row r="20" customFormat="false" ht="15" hidden="false" customHeight="false" outlineLevel="0" collapsed="false">
      <c r="A20" s="13" t="s">
        <v>297</v>
      </c>
    </row>
    <row r="21" customFormat="false" ht="15" hidden="false" customHeight="false" outlineLevel="0" collapsed="false">
      <c r="A21" s="13"/>
    </row>
    <row r="22" customFormat="false" ht="15" hidden="false" customHeight="false" outlineLevel="0" collapsed="false">
      <c r="A22" s="13" t="s">
        <v>298</v>
      </c>
    </row>
    <row r="23" customFormat="false" ht="15" hidden="false" customHeight="false" outlineLevel="0" collapsed="false">
      <c r="A23" s="13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2026-10-14T01:51:24Z</dcterms:created>
  <dc:creator>openpyxl</dc:creator>
  <dc:description/>
  <dc:language>en-US</dc:language>
  <cp:lastModifiedBy/>
  <dcterms:modified xsi:type="dcterms:W3CDTF">2026-10-14T01:51:26Z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